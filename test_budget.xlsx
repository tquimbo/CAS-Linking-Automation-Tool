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80" yWindow="4300" windowWidth="16720" windowHeight="1756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\(&quot;$&quot;#,##0.00\)"/>
    <numFmt numFmtId="165" formatCode="_(* #,##0.000_);_(* \(#,##0.000\);_(* &quot;-&quot;???_);_(@_)"/>
    <numFmt numFmtId="166" formatCode="_(* #,##0.0000_);_(* \(#,##0.0000\);_(* &quot;-&quot;??_);_(@_)"/>
    <numFmt numFmtId="167" formatCode="_(* #,##0_);_(* \(#,##0\);_(* &quot;-&quot;??_);_(@_)"/>
    <numFmt numFmtId="168" formatCode="_(* #,##0.0_);_(* \(#,##0.0\);_(* &quot;-&quot;??_);_(@_)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Nunito Sans"/>
      <b val="1"/>
      <color theme="1"/>
      <sz val="9"/>
    </font>
    <font>
      <name val="Nunito Sans"/>
      <color theme="1"/>
      <sz val="9"/>
    </font>
    <font>
      <name val="Nunito Sans"/>
      <b val="1"/>
      <color theme="1"/>
      <sz val="8"/>
    </font>
    <font>
      <name val="Nunito Sans"/>
      <sz val="9"/>
    </font>
    <font>
      <name val="Nunito Sans"/>
      <sz val="7"/>
    </font>
    <font>
      <name val="Nunito Sans"/>
      <b val="1"/>
      <color theme="1"/>
      <sz val="7"/>
    </font>
    <font>
      <name val="Nunito Sans"/>
      <charset val="1"/>
      <color rgb="FF000000"/>
      <sz val="9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2D5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2">
    <xf numFmtId="0" fontId="1" fillId="0" borderId="0"/>
    <xf numFmtId="43" fontId="1" fillId="0" borderId="0"/>
  </cellStyleXfs>
  <cellXfs count="143">
    <xf numFmtId="0" fontId="0" fillId="0" borderId="0" pivotButton="0" quotePrefix="0" xfId="0"/>
    <xf numFmtId="0" fontId="2" fillId="2" borderId="0" applyProtection="1" pivotButton="0" quotePrefix="0" xfId="0">
      <protection locked="0" hidden="0"/>
    </xf>
    <xf numFmtId="0" fontId="2" fillId="3" borderId="0" applyProtection="1" pivotButton="0" quotePrefix="0" xfId="0">
      <protection locked="0" hidden="0"/>
    </xf>
    <xf numFmtId="164" fontId="2" fillId="0" borderId="0" pivotButton="0" quotePrefix="0" xfId="0"/>
    <xf numFmtId="0" fontId="2" fillId="0" borderId="0" pivotButton="0" quotePrefix="0" xfId="0"/>
    <xf numFmtId="0" fontId="3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centerContinuous"/>
      <protection locked="0" hidden="0"/>
    </xf>
    <xf numFmtId="0" fontId="2" fillId="0" borderId="3" applyAlignment="1" applyProtection="1" pivotButton="0" quotePrefix="0" xfId="0">
      <alignment horizontal="centerContinuous"/>
      <protection locked="0" hidden="0"/>
    </xf>
    <xf numFmtId="0" fontId="2" fillId="0" borderId="4" applyAlignment="1" applyProtection="1" pivotButton="0" quotePrefix="0" xfId="0">
      <alignment horizontal="centerContinuous"/>
      <protection locked="0" hidden="0"/>
    </xf>
    <xf numFmtId="0" fontId="2" fillId="0" borderId="0" applyAlignment="1" applyProtection="1" pivotButton="0" quotePrefix="0" xfId="0">
      <alignment horizontal="centerContinuous"/>
      <protection locked="0" hidden="0"/>
    </xf>
    <xf numFmtId="165" fontId="2" fillId="0" borderId="2" applyAlignment="1" applyProtection="1" pivotButton="0" quotePrefix="0" xfId="0">
      <alignment horizontal="centerContinuous"/>
      <protection locked="0" hidden="0"/>
    </xf>
    <xf numFmtId="43" fontId="2" fillId="0" borderId="4" applyAlignment="1" applyProtection="1" pivotButton="0" quotePrefix="0" xfId="0">
      <alignment horizontal="centerContinuous"/>
      <protection locked="0" hidden="0"/>
    </xf>
    <xf numFmtId="17" fontId="2" fillId="0" borderId="5" applyAlignment="1" applyProtection="1" pivotButton="0" quotePrefix="0" xfId="0">
      <alignment horizontal="centerContinuous"/>
      <protection locked="0" hidden="0"/>
    </xf>
    <xf numFmtId="17" fontId="2" fillId="0" borderId="6" applyAlignment="1" applyProtection="1" pivotButton="0" quotePrefix="0" xfId="0">
      <alignment horizontal="centerContinuous"/>
      <protection locked="0" hidden="0"/>
    </xf>
    <xf numFmtId="0" fontId="3" fillId="0" borderId="7" pivotButton="0" quotePrefix="0" xfId="0"/>
    <xf numFmtId="17" fontId="2" fillId="0" borderId="8" applyAlignment="1" applyProtection="1" pivotButton="0" quotePrefix="0" xfId="0">
      <alignment horizontal="centerContinuous"/>
      <protection locked="0" hidden="0"/>
    </xf>
    <xf numFmtId="17" fontId="2" fillId="0" borderId="9" applyAlignment="1" applyProtection="1" pivotButton="0" quotePrefix="0" xfId="0">
      <alignment horizontal="centerContinuous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 wrapText="1"/>
      <protection locked="0" hidden="0"/>
    </xf>
    <xf numFmtId="0" fontId="2" fillId="0" borderId="10" applyAlignment="1" applyProtection="1" pivotButton="0" quotePrefix="0" xfId="0">
      <alignment horizontal="center" vertical="center" wrapText="1"/>
      <protection locked="0" hidden="0"/>
    </xf>
    <xf numFmtId="0" fontId="2" fillId="0" borderId="11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165" fontId="2" fillId="0" borderId="5" applyAlignment="1" applyProtection="1" pivotButton="0" quotePrefix="0" xfId="0">
      <alignment horizontal="center" vertical="center"/>
      <protection locked="0" hidden="0"/>
    </xf>
    <xf numFmtId="43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164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3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vertical="center"/>
      <protection locked="0" hidden="0"/>
    </xf>
    <xf numFmtId="0" fontId="2" fillId="0" borderId="13" applyAlignment="1" applyProtection="1" pivotButton="0" quotePrefix="0" xfId="0">
      <alignment vertical="center"/>
      <protection locked="0" hidden="0"/>
    </xf>
    <xf numFmtId="0" fontId="2" fillId="4" borderId="12" applyAlignment="1" applyProtection="1" pivotButton="0" quotePrefix="0" xfId="0">
      <alignment vertical="center"/>
      <protection locked="0" hidden="0"/>
    </xf>
    <xf numFmtId="43" fontId="2" fillId="4" borderId="14" applyAlignment="1" applyProtection="1" pivotButton="0" quotePrefix="0" xfId="1">
      <alignment vertical="center"/>
      <protection locked="0" hidden="0"/>
    </xf>
    <xf numFmtId="43" fontId="3" fillId="2" borderId="13" applyAlignment="1" applyProtection="1" pivotButton="0" quotePrefix="0" xfId="1">
      <alignment vertical="center"/>
      <protection locked="0" hidden="0"/>
    </xf>
    <xf numFmtId="43" fontId="3" fillId="0" borderId="0" applyAlignment="1" applyProtection="1" pivotButton="0" quotePrefix="0" xfId="1">
      <alignment vertical="center"/>
      <protection locked="0" hidden="0"/>
    </xf>
    <xf numFmtId="165" fontId="3" fillId="4" borderId="12" applyAlignment="1" pivotButton="0" quotePrefix="0" xfId="1">
      <alignment vertical="center"/>
    </xf>
    <xf numFmtId="43" fontId="3" fillId="3" borderId="15" pivotButton="0" quotePrefix="0" xfId="1"/>
    <xf numFmtId="43" fontId="3" fillId="4" borderId="12" applyAlignment="1" pivotButton="0" quotePrefix="0" xfId="1">
      <alignment vertical="center"/>
    </xf>
    <xf numFmtId="43" fontId="3" fillId="3" borderId="16" pivotButton="0" quotePrefix="0" xfId="1"/>
    <xf numFmtId="0" fontId="3" fillId="0" borderId="0" pivotButton="0" quotePrefix="0" xfId="0"/>
    <xf numFmtId="43" fontId="3" fillId="4" borderId="12" applyAlignment="1" applyProtection="1" pivotButton="0" quotePrefix="0" xfId="1">
      <alignment vertical="center"/>
      <protection locked="0" hidden="0"/>
    </xf>
    <xf numFmtId="43" fontId="3" fillId="2" borderId="17" applyAlignment="1" applyProtection="1" pivotButton="0" quotePrefix="0" xfId="1">
      <alignment vertical="center"/>
      <protection locked="0" hidden="0"/>
    </xf>
    <xf numFmtId="43" fontId="3" fillId="2" borderId="7" applyAlignment="1" applyProtection="1" pivotButton="0" quotePrefix="0" xfId="1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0" borderId="15" applyAlignment="1" applyProtection="1" pivotButton="0" quotePrefix="0" xfId="0">
      <alignment vertical="center"/>
      <protection locked="0" hidden="0"/>
    </xf>
    <xf numFmtId="43" fontId="2" fillId="4" borderId="12" applyAlignment="1" applyProtection="1" pivotButton="0" quotePrefix="0" xfId="1">
      <alignment vertical="center"/>
      <protection locked="0" hidden="0"/>
    </xf>
    <xf numFmtId="43" fontId="2" fillId="4" borderId="7" applyAlignment="1" applyProtection="1" pivotButton="0" quotePrefix="0" xfId="1">
      <alignment vertical="center"/>
      <protection locked="0" hidden="0"/>
    </xf>
    <xf numFmtId="0" fontId="2" fillId="4" borderId="13" applyAlignment="1" applyProtection="1" pivotButton="0" quotePrefix="0" xfId="0">
      <alignment vertical="center"/>
      <protection locked="0" hidden="0"/>
    </xf>
    <xf numFmtId="165" fontId="2" fillId="4" borderId="18" applyAlignment="1" pivotButton="0" quotePrefix="0" xfId="0">
      <alignment vertical="center"/>
    </xf>
    <xf numFmtId="43" fontId="2" fillId="4" borderId="13" applyAlignment="1" pivotButton="0" quotePrefix="0" xfId="1">
      <alignment vertical="center"/>
    </xf>
    <xf numFmtId="0" fontId="2" fillId="4" borderId="12" applyAlignment="1" pivotButton="0" quotePrefix="0" xfId="0">
      <alignment vertical="center"/>
    </xf>
    <xf numFmtId="43" fontId="2" fillId="4" borderId="17" applyAlignment="1" pivotButton="0" quotePrefix="0" xfId="1">
      <alignment vertical="center"/>
    </xf>
    <xf numFmtId="0" fontId="2" fillId="4" borderId="17" applyAlignment="1" applyProtection="1" pivotButton="0" quotePrefix="0" xfId="0">
      <alignment vertical="center"/>
      <protection locked="0" hidden="0"/>
    </xf>
    <xf numFmtId="0" fontId="2" fillId="4" borderId="7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left"/>
      <protection locked="0" hidden="0"/>
    </xf>
    <xf numFmtId="0" fontId="6" fillId="0" borderId="15" applyAlignment="1" applyProtection="1" pivotButton="0" quotePrefix="0" xfId="0">
      <alignment horizontal="left"/>
      <protection locked="0" hidden="0"/>
    </xf>
    <xf numFmtId="166" fontId="3" fillId="2" borderId="18" applyProtection="1" pivotButton="0" quotePrefix="0" xfId="1">
      <protection locked="0" hidden="0"/>
    </xf>
    <xf numFmtId="167" fontId="3" fillId="2" borderId="0" applyProtection="1" pivotButton="0" quotePrefix="0" xfId="1">
      <protection locked="0" hidden="0"/>
    </xf>
    <xf numFmtId="43" fontId="3" fillId="0" borderId="0" pivotButton="0" quotePrefix="0" xfId="1"/>
    <xf numFmtId="165" fontId="3" fillId="3" borderId="18" pivotButton="0" quotePrefix="0" xfId="1"/>
    <xf numFmtId="167" fontId="3" fillId="3" borderId="18" pivotButton="0" quotePrefix="0" xfId="1"/>
    <xf numFmtId="167" fontId="3" fillId="2" borderId="18" applyProtection="1" pivotButton="0" quotePrefix="0" xfId="1">
      <protection locked="0" hidden="0"/>
    </xf>
    <xf numFmtId="43" fontId="3" fillId="3" borderId="0" pivotButton="0" quotePrefix="0" xfId="1"/>
    <xf numFmtId="0" fontId="7" fillId="0" borderId="13" applyAlignment="1" applyProtection="1" pivotButton="0" quotePrefix="0" xfId="0">
      <alignment vertical="center"/>
      <protection locked="0" hidden="0"/>
    </xf>
    <xf numFmtId="0" fontId="3" fillId="4" borderId="12" applyProtection="1" pivotButton="0" quotePrefix="0" xfId="0">
      <protection locked="0" hidden="0"/>
    </xf>
    <xf numFmtId="0" fontId="3" fillId="4" borderId="7" applyProtection="1" pivotButton="0" quotePrefix="0" xfId="0">
      <protection locked="0" hidden="0"/>
    </xf>
    <xf numFmtId="165" fontId="3" fillId="4" borderId="12" pivotButton="0" quotePrefix="0" xfId="0"/>
    <xf numFmtId="43" fontId="3" fillId="4" borderId="13" pivotButton="0" quotePrefix="0" xfId="1"/>
    <xf numFmtId="37" fontId="3" fillId="4" borderId="12" pivotButton="0" quotePrefix="0" xfId="0"/>
    <xf numFmtId="43" fontId="3" fillId="4" borderId="17" pivotButton="0" quotePrefix="0" xfId="1"/>
    <xf numFmtId="43" fontId="3" fillId="4" borderId="7" pivotButton="0" quotePrefix="0" xfId="1"/>
    <xf numFmtId="43" fontId="3" fillId="2" borderId="18" applyProtection="1" pivotButton="0" quotePrefix="0" xfId="1">
      <protection locked="0" hidden="0"/>
    </xf>
    <xf numFmtId="168" fontId="3" fillId="2" borderId="0" applyProtection="1" pivotButton="0" quotePrefix="0" xfId="1">
      <protection locked="0" hidden="0"/>
    </xf>
    <xf numFmtId="168" fontId="3" fillId="3" borderId="18" pivotButton="0" quotePrefix="0" xfId="1"/>
    <xf numFmtId="168" fontId="3" fillId="2" borderId="18" applyProtection="1" pivotButton="0" quotePrefix="0" xfId="1">
      <protection locked="0" hidden="0"/>
    </xf>
    <xf numFmtId="43" fontId="3" fillId="2" borderId="19" applyProtection="1" pivotButton="0" quotePrefix="0" xfId="1">
      <protection locked="0" hidden="0"/>
    </xf>
    <xf numFmtId="168" fontId="3" fillId="2" borderId="1" applyProtection="1" pivotButton="0" quotePrefix="0" xfId="1">
      <protection locked="0" hidden="0"/>
    </xf>
    <xf numFmtId="165" fontId="3" fillId="3" borderId="19" pivotButton="0" quotePrefix="0" xfId="1"/>
    <xf numFmtId="43" fontId="3" fillId="3" borderId="20" pivotButton="0" quotePrefix="0" xfId="1"/>
    <xf numFmtId="168" fontId="3" fillId="3" borderId="12" pivotButton="0" quotePrefix="0" xfId="1"/>
    <xf numFmtId="43" fontId="3" fillId="3" borderId="17" pivotButton="0" quotePrefix="0" xfId="1"/>
    <xf numFmtId="168" fontId="3" fillId="2" borderId="19" applyProtection="1" pivotButton="0" quotePrefix="0" xfId="1">
      <protection locked="0" hidden="0"/>
    </xf>
    <xf numFmtId="0" fontId="2" fillId="0" borderId="21" applyAlignment="1" applyProtection="1" pivotButton="0" quotePrefix="0" xfId="0">
      <alignment vertical="center"/>
      <protection locked="0" hidden="0"/>
    </xf>
    <xf numFmtId="0" fontId="2" fillId="0" borderId="22" applyAlignment="1" applyProtection="1" pivotButton="0" quotePrefix="0" xfId="0">
      <alignment vertical="center"/>
      <protection locked="0" hidden="0"/>
    </xf>
    <xf numFmtId="0" fontId="2" fillId="0" borderId="23" applyProtection="1" pivotButton="0" quotePrefix="0" xfId="0">
      <protection locked="0" hidden="0"/>
    </xf>
    <xf numFmtId="43" fontId="2" fillId="0" borderId="24" applyProtection="1" pivotButton="0" quotePrefix="0" xfId="0">
      <protection locked="0" hidden="0"/>
    </xf>
    <xf numFmtId="43" fontId="2" fillId="3" borderId="24" pivotButton="0" quotePrefix="0" xfId="1"/>
    <xf numFmtId="43" fontId="2" fillId="0" borderId="0" pivotButton="0" quotePrefix="0" xfId="1"/>
    <xf numFmtId="165" fontId="2" fillId="0" borderId="24" applyProtection="1" pivotButton="0" quotePrefix="0" xfId="0">
      <protection locked="0" hidden="0"/>
    </xf>
    <xf numFmtId="43" fontId="2" fillId="3" borderId="25" applyProtection="1" pivotButton="0" quotePrefix="0" xfId="1">
      <protection locked="0" hidden="0"/>
    </xf>
    <xf numFmtId="0" fontId="2" fillId="0" borderId="26" applyProtection="1" pivotButton="0" quotePrefix="0" xfId="0">
      <protection locked="0" hidden="0"/>
    </xf>
    <xf numFmtId="43" fontId="2" fillId="3" borderId="22" applyProtection="1" pivotButton="0" quotePrefix="0" xfId="1">
      <protection locked="0" hidden="0"/>
    </xf>
    <xf numFmtId="43" fontId="2" fillId="0" borderId="26" applyProtection="1" pivotButton="0" quotePrefix="0" xfId="0">
      <protection locked="0" hidden="0"/>
    </xf>
    <xf numFmtId="43" fontId="2" fillId="3" borderId="27" pivotButton="0" quotePrefix="0" xfId="1"/>
    <xf numFmtId="43" fontId="2" fillId="3" borderId="28" pivotButton="0" quotePrefix="0" xfId="1"/>
    <xf numFmtId="0" fontId="2" fillId="0" borderId="0" applyAlignment="1" applyProtection="1" pivotButton="0" quotePrefix="0" xfId="0">
      <alignment horizontal="left" vertical="center" indent="1"/>
      <protection locked="0" hidden="0"/>
    </xf>
    <xf numFmtId="43" fontId="3" fillId="2" borderId="0" applyProtection="1" pivotButton="0" quotePrefix="0" xfId="1">
      <protection locked="0" hidden="0"/>
    </xf>
    <xf numFmtId="43" fontId="3" fillId="0" borderId="0" applyProtection="1" pivotButton="0" quotePrefix="0" xfId="1">
      <protection locked="0" hidden="0"/>
    </xf>
    <xf numFmtId="165" fontId="3" fillId="0" borderId="0" applyProtection="1" pivotButton="0" quotePrefix="0" xfId="0">
      <protection locked="0" hidden="0"/>
    </xf>
    <xf numFmtId="43" fontId="3" fillId="0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43" fontId="3" fillId="3" borderId="0" applyAlignment="1" pivotButton="0" quotePrefix="0" xfId="0">
      <alignment horizontal="center"/>
    </xf>
    <xf numFmtId="43" fontId="3" fillId="0" borderId="0" applyAlignment="1" pivotButton="0" quotePrefix="0" xfId="0">
      <alignment horizontal="center"/>
    </xf>
    <xf numFmtId="165" fontId="3" fillId="0" borderId="0" pivotButton="0" quotePrefix="0" xfId="0"/>
    <xf numFmtId="164" fontId="3" fillId="0" borderId="0" pivotButton="0" quotePrefix="0" xfId="0"/>
    <xf numFmtId="0" fontId="3" fillId="0" borderId="0" applyAlignment="1" pivotButton="0" quotePrefix="0" xfId="0">
      <alignment horizontal="center"/>
    </xf>
    <xf numFmtId="43" fontId="3" fillId="0" borderId="0" pivotButton="0" quotePrefix="0" xfId="0"/>
    <xf numFmtId="43" fontId="8" fillId="5" borderId="13" applyAlignment="1" applyProtection="1" pivotButton="0" quotePrefix="0" xfId="0">
      <alignment vertical="center"/>
      <protection locked="0" hidden="0"/>
    </xf>
    <xf numFmtId="0" fontId="2" fillId="2" borderId="1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165" fontId="2" fillId="0" borderId="1" applyAlignment="1" applyProtection="1" pivotButton="0" quotePrefix="0" xfId="0">
      <alignment horizontal="center"/>
      <protection locked="0" hidden="0"/>
    </xf>
    <xf numFmtId="164" fontId="3" fillId="0" borderId="0" applyAlignment="1" pivotButton="0" quotePrefix="0" xfId="0">
      <alignment horizontal="center"/>
    </xf>
    <xf numFmtId="43" fontId="3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4" fontId="2" fillId="0" borderId="0" pivotButton="0" quotePrefix="0" xfId="0"/>
    <xf numFmtId="165" fontId="2" fillId="0" borderId="1" applyAlignment="1" applyProtection="1" pivotButton="0" quotePrefix="0" xfId="0">
      <alignment horizontal="center"/>
      <protection locked="0" hidden="0"/>
    </xf>
    <xf numFmtId="165" fontId="2" fillId="0" borderId="2" applyAlignment="1" applyProtection="1" pivotButton="0" quotePrefix="0" xfId="0">
      <alignment horizontal="centerContinuous"/>
      <protection locked="0" hidden="0"/>
    </xf>
    <xf numFmtId="165" fontId="2" fillId="0" borderId="5" applyAlignment="1" applyProtection="1" pivotButton="0" quotePrefix="0" xfId="0">
      <alignment horizontal="center" vertical="center"/>
      <protection locked="0" hidden="0"/>
    </xf>
    <xf numFmtId="164" fontId="2" fillId="0" borderId="6" applyAlignment="1" applyProtection="1" pivotButton="0" quotePrefix="0" xfId="0">
      <alignment horizontal="center" vertical="center"/>
      <protection locked="0" hidden="0"/>
    </xf>
    <xf numFmtId="165" fontId="3" fillId="4" borderId="12" applyAlignment="1" pivotButton="0" quotePrefix="0" xfId="1">
      <alignment vertical="center"/>
    </xf>
    <xf numFmtId="165" fontId="2" fillId="4" borderId="18" applyAlignment="1" pivotButton="0" quotePrefix="0" xfId="0">
      <alignment vertical="center"/>
    </xf>
    <xf numFmtId="166" fontId="3" fillId="2" borderId="18" applyProtection="1" pivotButton="0" quotePrefix="0" xfId="1">
      <protection locked="0" hidden="0"/>
    </xf>
    <xf numFmtId="167" fontId="3" fillId="2" borderId="0" applyProtection="1" pivotButton="0" quotePrefix="0" xfId="1">
      <protection locked="0" hidden="0"/>
    </xf>
    <xf numFmtId="165" fontId="3" fillId="3" borderId="18" pivotButton="0" quotePrefix="0" xfId="1"/>
    <xf numFmtId="167" fontId="3" fillId="3" borderId="18" pivotButton="0" quotePrefix="0" xfId="1"/>
    <xf numFmtId="167" fontId="3" fillId="2" borderId="18" applyProtection="1" pivotButton="0" quotePrefix="0" xfId="1">
      <protection locked="0" hidden="0"/>
    </xf>
    <xf numFmtId="165" fontId="3" fillId="4" borderId="12" pivotButton="0" quotePrefix="0" xfId="0"/>
    <xf numFmtId="168" fontId="3" fillId="2" borderId="0" applyProtection="1" pivotButton="0" quotePrefix="0" xfId="1">
      <protection locked="0" hidden="0"/>
    </xf>
    <xf numFmtId="168" fontId="3" fillId="3" borderId="18" pivotButton="0" quotePrefix="0" xfId="1"/>
    <xf numFmtId="168" fontId="3" fillId="2" borderId="18" applyProtection="1" pivotButton="0" quotePrefix="0" xfId="1">
      <protection locked="0" hidden="0"/>
    </xf>
    <xf numFmtId="168" fontId="3" fillId="2" borderId="1" applyProtection="1" pivotButton="0" quotePrefix="0" xfId="1">
      <protection locked="0" hidden="0"/>
    </xf>
    <xf numFmtId="165" fontId="3" fillId="3" borderId="19" pivotButton="0" quotePrefix="0" xfId="1"/>
    <xf numFmtId="168" fontId="3" fillId="3" borderId="12" pivotButton="0" quotePrefix="0" xfId="1"/>
    <xf numFmtId="168" fontId="3" fillId="2" borderId="19" applyProtection="1" pivotButton="0" quotePrefix="0" xfId="1">
      <protection locked="0" hidden="0"/>
    </xf>
    <xf numFmtId="165" fontId="2" fillId="0" borderId="24" applyProtection="1" pivotButton="0" quotePrefix="0" xfId="0">
      <protection locked="0" hidden="0"/>
    </xf>
    <xf numFmtId="165" fontId="3" fillId="0" borderId="0" applyProtection="1" pivotButton="0" quotePrefix="0" xfId="0">
      <protection locked="0" hidden="0"/>
    </xf>
    <xf numFmtId="164" fontId="3" fillId="0" borderId="0" applyProtection="1" pivotButton="0" quotePrefix="0" xfId="0">
      <protection locked="0" hidden="0"/>
    </xf>
    <xf numFmtId="164" fontId="3" fillId="0" borderId="0" applyAlignment="1" pivotButton="0" quotePrefix="0" xfId="0">
      <alignment horizontal="center"/>
    </xf>
  </cellXfs>
  <cellStyles count="2">
    <cellStyle name="Normal" xfId="0" builtinId="0"/>
    <cellStyle name="Comma" xfId="1" builtinId="3"/>
  </cellStyles>
  <dxfs count="70"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oice Summary"/>
      <sheetName val="Budget"/>
    </sheetNames>
    <sheetDataSet>
      <sheetData sheetId="0">
        <row r="29">
          <cell r="G29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9"/>
  <sheetViews>
    <sheetView tabSelected="1" workbookViewId="0">
      <selection activeCell="E168" sqref="E13:E168"/>
    </sheetView>
  </sheetViews>
  <sheetFormatPr baseColWidth="10" defaultColWidth="8.83203125" defaultRowHeight="14"/>
  <cols>
    <col width="16.33203125" bestFit="1" customWidth="1" style="116" min="1" max="1"/>
    <col width="62.6640625" bestFit="1" customWidth="1" style="116" min="2" max="2"/>
    <col width="12.83203125" customWidth="1" style="116" min="3" max="4"/>
    <col width="13.5" bestFit="1" customWidth="1" style="117" min="5" max="5"/>
    <col width="2.5" customWidth="1" style="117" min="6" max="6"/>
    <col width="11.83203125" customWidth="1" style="118" min="7" max="7"/>
    <col width="13.5" bestFit="1" customWidth="1" style="115" min="8" max="8"/>
    <col width="13.83203125" customWidth="1" style="116" min="9" max="9"/>
    <col width="13.5" bestFit="1" customWidth="1" style="117" min="10" max="10"/>
    <col width="39.1640625" customWidth="1" style="116" min="11" max="11"/>
    <col width="15.33203125" customWidth="1" style="116" min="12" max="51"/>
    <col width="8.83203125" customWidth="1" style="116" min="52" max="52"/>
    <col width="8.83203125" customWidth="1" style="116" min="53" max="16384"/>
  </cols>
  <sheetData>
    <row r="1" ht="15" customFormat="1" customHeight="1" s="4" thickBot="1">
      <c r="A1" s="1" t="inlineStr">
        <is>
          <t>Input fields</t>
        </is>
      </c>
      <c r="B1" s="2" t="inlineStr">
        <is>
          <t>Calculated Fields</t>
        </is>
      </c>
      <c r="C1" s="110" t="inlineStr">
        <is>
          <t>Enter proposal rates and quantities</t>
        </is>
      </c>
      <c r="D1" s="111" t="n"/>
      <c r="E1" s="111" t="n"/>
      <c r="F1" s="119" t="n"/>
      <c r="G1" s="120" t="inlineStr">
        <is>
          <t>All the below are calculated</t>
        </is>
      </c>
      <c r="H1" s="111" t="n"/>
      <c r="I1" s="120" t="inlineStr">
        <is>
          <t>All the below are calculated</t>
        </is>
      </c>
      <c r="J1" s="111" t="n"/>
      <c r="L1" s="112" t="inlineStr">
        <is>
          <t>Enter quantities, amouts are calculated</t>
        </is>
      </c>
      <c r="M1" s="111" t="n"/>
      <c r="N1" s="112" t="inlineStr">
        <is>
          <t>Enter quantities, amouts are calculated</t>
        </is>
      </c>
      <c r="O1" s="111" t="n"/>
      <c r="P1" s="112" t="inlineStr">
        <is>
          <t>Enter quantities, amouts are calculated</t>
        </is>
      </c>
      <c r="Q1" s="111" t="n"/>
      <c r="R1" s="112" t="inlineStr">
        <is>
          <t>Enter quantities, amouts are calculated</t>
        </is>
      </c>
      <c r="S1" s="111" t="n"/>
      <c r="T1" s="112" t="inlineStr">
        <is>
          <t>Enter quantities, amouts are calculated</t>
        </is>
      </c>
      <c r="U1" s="111" t="n"/>
      <c r="V1" s="112" t="inlineStr">
        <is>
          <t>Enter quantities, amouts are calculated</t>
        </is>
      </c>
      <c r="W1" s="111" t="n"/>
      <c r="X1" s="112" t="inlineStr">
        <is>
          <t>Enter quantities, amouts are calculated</t>
        </is>
      </c>
      <c r="Y1" s="111" t="n"/>
      <c r="Z1" s="112" t="inlineStr">
        <is>
          <t>Enter quantities, amouts are calculated</t>
        </is>
      </c>
      <c r="AA1" s="111" t="n"/>
      <c r="AB1" s="112" t="inlineStr">
        <is>
          <t>Enter quantities, amouts are calculated</t>
        </is>
      </c>
      <c r="AC1" s="111" t="n"/>
      <c r="AD1" s="112" t="inlineStr">
        <is>
          <t>Enter quantities, amouts are calculated</t>
        </is>
      </c>
      <c r="AE1" s="111" t="n"/>
      <c r="AF1" s="112" t="inlineStr">
        <is>
          <t>Enter quantities, amouts are calculated</t>
        </is>
      </c>
      <c r="AG1" s="111" t="n"/>
      <c r="AH1" s="112" t="inlineStr">
        <is>
          <t>Enter quantities, amouts are calculated</t>
        </is>
      </c>
      <c r="AI1" s="111" t="n"/>
      <c r="AJ1" s="112" t="inlineStr">
        <is>
          <t>Enter quantities, amouts are calculated</t>
        </is>
      </c>
      <c r="AK1" s="111" t="n"/>
      <c r="AL1" s="112" t="inlineStr">
        <is>
          <t>Enter quantities, amouts are calculated</t>
        </is>
      </c>
      <c r="AM1" s="111" t="n"/>
      <c r="AN1" s="112" t="inlineStr">
        <is>
          <t>Enter quantities, amouts are calculated</t>
        </is>
      </c>
      <c r="AO1" s="111" t="n"/>
      <c r="AP1" s="112" t="inlineStr">
        <is>
          <t>Enter quantities, amouts are calculated</t>
        </is>
      </c>
      <c r="AQ1" s="111" t="n"/>
      <c r="AR1" s="112" t="inlineStr">
        <is>
          <t>Enter quantities, amouts are calculated</t>
        </is>
      </c>
      <c r="AS1" s="111" t="n"/>
      <c r="AT1" s="112" t="inlineStr">
        <is>
          <t>Enter quantities, amouts are calculated</t>
        </is>
      </c>
      <c r="AU1" s="111" t="n"/>
      <c r="AV1" s="112" t="inlineStr">
        <is>
          <t>Enter quantities, amouts are calculated</t>
        </is>
      </c>
      <c r="AW1" s="111" t="n"/>
      <c r="AX1" s="112" t="inlineStr">
        <is>
          <t>Enter quantities, amouts are calculated</t>
        </is>
      </c>
      <c r="AY1" s="111" t="n"/>
    </row>
    <row r="2" ht="16" customFormat="1" customHeight="1" s="14" thickBot="1">
      <c r="A2" s="5" t="n"/>
      <c r="B2" s="5" t="n"/>
      <c r="C2" s="6" t="inlineStr">
        <is>
          <t>Proposal</t>
        </is>
      </c>
      <c r="D2" s="7" t="n"/>
      <c r="E2" s="8" t="n"/>
      <c r="F2" s="9" t="n"/>
      <c r="G2" s="121" t="inlineStr">
        <is>
          <t>Total Invoiced</t>
        </is>
      </c>
      <c r="H2" s="11" t="n"/>
      <c r="I2" s="12" t="inlineStr">
        <is>
          <t>Under/(Over) Budget</t>
        </is>
      </c>
      <c r="J2" s="13" t="n"/>
      <c r="L2" s="15" t="inlineStr">
        <is>
          <t>Month 1</t>
        </is>
      </c>
      <c r="M2" s="16" t="n"/>
      <c r="N2" s="15" t="inlineStr">
        <is>
          <t>Month 2</t>
        </is>
      </c>
      <c r="O2" s="16" t="n"/>
      <c r="P2" s="15" t="inlineStr">
        <is>
          <t>Month 3</t>
        </is>
      </c>
      <c r="Q2" s="16" t="n"/>
      <c r="R2" s="15" t="inlineStr">
        <is>
          <t>Month 4</t>
        </is>
      </c>
      <c r="S2" s="16" t="n"/>
      <c r="T2" s="15" t="inlineStr">
        <is>
          <t>Month 5</t>
        </is>
      </c>
      <c r="U2" s="16" t="n"/>
      <c r="V2" s="15" t="inlineStr">
        <is>
          <t>Month 6</t>
        </is>
      </c>
      <c r="W2" s="16" t="n"/>
      <c r="X2" s="15" t="inlineStr">
        <is>
          <t>Month 7</t>
        </is>
      </c>
      <c r="Y2" s="16" t="n"/>
      <c r="Z2" s="15" t="inlineStr">
        <is>
          <t>Month 8</t>
        </is>
      </c>
      <c r="AA2" s="16" t="n"/>
      <c r="AB2" s="15" t="inlineStr">
        <is>
          <t>Month 9</t>
        </is>
      </c>
      <c r="AC2" s="16" t="n"/>
      <c r="AD2" s="15" t="inlineStr">
        <is>
          <t>Month 10</t>
        </is>
      </c>
      <c r="AE2" s="16" t="n"/>
      <c r="AF2" s="15" t="inlineStr">
        <is>
          <t>Month 11</t>
        </is>
      </c>
      <c r="AG2" s="16" t="n"/>
      <c r="AH2" s="15" t="inlineStr">
        <is>
          <t>Month 12</t>
        </is>
      </c>
      <c r="AI2" s="16" t="n"/>
      <c r="AJ2" s="15" t="inlineStr">
        <is>
          <t>Month 13</t>
        </is>
      </c>
      <c r="AK2" s="16" t="n"/>
      <c r="AL2" s="15" t="inlineStr">
        <is>
          <t>Month 14</t>
        </is>
      </c>
      <c r="AM2" s="16" t="n"/>
      <c r="AN2" s="15" t="inlineStr">
        <is>
          <t>Month 15</t>
        </is>
      </c>
      <c r="AO2" s="16" t="n"/>
      <c r="AP2" s="15" t="inlineStr">
        <is>
          <t>Month 16</t>
        </is>
      </c>
      <c r="AQ2" s="16" t="n"/>
      <c r="AR2" s="15" t="inlineStr">
        <is>
          <t>Month 17</t>
        </is>
      </c>
      <c r="AS2" s="16" t="n"/>
      <c r="AT2" s="15" t="inlineStr">
        <is>
          <t>Month 18</t>
        </is>
      </c>
      <c r="AU2" s="16" t="n"/>
      <c r="AV2" s="15" t="inlineStr">
        <is>
          <t>Month 19</t>
        </is>
      </c>
      <c r="AW2" s="16" t="n"/>
      <c r="AX2" s="15" t="inlineStr">
        <is>
          <t>Month 20</t>
        </is>
      </c>
      <c r="AY2" s="16" t="n"/>
    </row>
    <row r="3" ht="15" customFormat="1" customHeight="1" s="14">
      <c r="A3" s="17" t="inlineStr">
        <is>
          <t>Billing Code</t>
        </is>
      </c>
      <c r="B3" s="18" t="inlineStr">
        <is>
          <t>Billing Description</t>
        </is>
      </c>
      <c r="C3" s="19" t="inlineStr">
        <is>
          <t>Rate</t>
        </is>
      </c>
      <c r="D3" s="20" t="inlineStr">
        <is>
          <t>Qty</t>
        </is>
      </c>
      <c r="E3" s="21" t="inlineStr">
        <is>
          <t>Amount</t>
        </is>
      </c>
      <c r="F3" s="22" t="n"/>
      <c r="G3" s="122" t="inlineStr">
        <is>
          <t>Qty</t>
        </is>
      </c>
      <c r="H3" s="24" t="inlineStr">
        <is>
          <t>Amount</t>
        </is>
      </c>
      <c r="I3" s="25" t="inlineStr">
        <is>
          <t>Qty</t>
        </is>
      </c>
      <c r="J3" s="123" t="inlineStr">
        <is>
          <t>Amount</t>
        </is>
      </c>
      <c r="K3" s="14" t="inlineStr">
        <is>
          <t>Notes (auto-generated): do not manually enter</t>
        </is>
      </c>
      <c r="L3" s="25" t="inlineStr">
        <is>
          <t>Qty</t>
        </is>
      </c>
      <c r="M3" s="27" t="inlineStr">
        <is>
          <t>Amount</t>
        </is>
      </c>
      <c r="N3" s="25" t="inlineStr">
        <is>
          <t>Qty</t>
        </is>
      </c>
      <c r="O3" s="27" t="inlineStr">
        <is>
          <t>Amount</t>
        </is>
      </c>
      <c r="P3" s="25" t="inlineStr">
        <is>
          <t>Qty</t>
        </is>
      </c>
      <c r="Q3" s="27" t="inlineStr">
        <is>
          <t>Amount</t>
        </is>
      </c>
      <c r="R3" s="25" t="inlineStr">
        <is>
          <t>Qty</t>
        </is>
      </c>
      <c r="S3" s="27" t="inlineStr">
        <is>
          <t>Amount</t>
        </is>
      </c>
      <c r="T3" s="25" t="inlineStr">
        <is>
          <t>Qty</t>
        </is>
      </c>
      <c r="U3" s="28" t="inlineStr">
        <is>
          <t>Amount</t>
        </is>
      </c>
      <c r="V3" s="29" t="inlineStr">
        <is>
          <t>Qty</t>
        </is>
      </c>
      <c r="W3" s="30" t="inlineStr">
        <is>
          <t>Amount</t>
        </is>
      </c>
      <c r="X3" s="29" t="inlineStr">
        <is>
          <t>Qty</t>
        </is>
      </c>
      <c r="Y3" s="30" t="inlineStr">
        <is>
          <t>Amount</t>
        </is>
      </c>
      <c r="Z3" s="29" t="inlineStr">
        <is>
          <t>Qty</t>
        </is>
      </c>
      <c r="AA3" s="30" t="inlineStr">
        <is>
          <t>Amount</t>
        </is>
      </c>
      <c r="AB3" s="29" t="inlineStr">
        <is>
          <t>Qty</t>
        </is>
      </c>
      <c r="AC3" s="30" t="inlineStr">
        <is>
          <t>Amount</t>
        </is>
      </c>
      <c r="AD3" s="29" t="inlineStr">
        <is>
          <t>Qty</t>
        </is>
      </c>
      <c r="AE3" s="30" t="inlineStr">
        <is>
          <t>Amount</t>
        </is>
      </c>
      <c r="AF3" s="29" t="inlineStr">
        <is>
          <t>Qty</t>
        </is>
      </c>
      <c r="AG3" s="30" t="inlineStr">
        <is>
          <t>Amount</t>
        </is>
      </c>
      <c r="AH3" s="29" t="inlineStr">
        <is>
          <t>Qty</t>
        </is>
      </c>
      <c r="AI3" s="30" t="inlineStr">
        <is>
          <t>Amount</t>
        </is>
      </c>
      <c r="AJ3" s="29" t="inlineStr">
        <is>
          <t>Qty</t>
        </is>
      </c>
      <c r="AK3" s="30" t="inlineStr">
        <is>
          <t>Amount</t>
        </is>
      </c>
      <c r="AL3" s="29" t="inlineStr">
        <is>
          <t>Qty</t>
        </is>
      </c>
      <c r="AM3" s="30" t="inlineStr">
        <is>
          <t>Amount</t>
        </is>
      </c>
      <c r="AN3" s="29" t="inlineStr">
        <is>
          <t>Qty</t>
        </is>
      </c>
      <c r="AO3" s="30" t="inlineStr">
        <is>
          <t>Amount</t>
        </is>
      </c>
      <c r="AP3" s="29" t="inlineStr">
        <is>
          <t>Qty</t>
        </is>
      </c>
      <c r="AQ3" s="30" t="inlineStr">
        <is>
          <t>Amount</t>
        </is>
      </c>
      <c r="AR3" s="29" t="inlineStr">
        <is>
          <t>Qty</t>
        </is>
      </c>
      <c r="AS3" s="30" t="inlineStr">
        <is>
          <t>Amount</t>
        </is>
      </c>
      <c r="AT3" s="29" t="inlineStr">
        <is>
          <t>Qty</t>
        </is>
      </c>
      <c r="AU3" s="30" t="inlineStr">
        <is>
          <t>Amount</t>
        </is>
      </c>
      <c r="AV3" s="29" t="inlineStr">
        <is>
          <t>Qty</t>
        </is>
      </c>
      <c r="AW3" s="30" t="inlineStr">
        <is>
          <t>Amount</t>
        </is>
      </c>
      <c r="AX3" s="29" t="inlineStr">
        <is>
          <t>Qty</t>
        </is>
      </c>
      <c r="AY3" s="30" t="inlineStr">
        <is>
          <t>Amount</t>
        </is>
      </c>
    </row>
    <row r="4">
      <c r="A4" s="31" t="inlineStr">
        <is>
          <t>Expense</t>
        </is>
      </c>
      <c r="B4" s="32" t="n"/>
      <c r="C4" s="33" t="n"/>
      <c r="D4" s="34" t="n"/>
      <c r="E4" s="109" t="n">
        <v>62996</v>
      </c>
      <c r="F4" s="36" t="n"/>
      <c r="G4" s="124" t="n"/>
      <c r="H4" s="38">
        <f>M4+O4+Q4+S4+U4+W4+Y4+AA4+AC4+AE4+AG4+AI4+AK4+AM4+AO4+AQ4+AS4+AU4+AW4+AY4</f>
        <v/>
      </c>
      <c r="I4" s="39" t="n"/>
      <c r="J4" s="40">
        <f>ROUND(E4,2)-ROUND(H4,2)</f>
        <v/>
      </c>
      <c r="K4" s="116">
        <f>IF(J4=0,"",IF(J4&lt;0,"IMPORTANT:  Over budget - Needs review","Currently at or under budget"))</f>
        <v/>
      </c>
      <c r="L4" s="42" t="n"/>
      <c r="M4" s="43" t="n"/>
      <c r="N4" s="42" t="n"/>
      <c r="O4" s="43" t="n"/>
      <c r="P4" s="42" t="n"/>
      <c r="Q4" s="43" t="n"/>
      <c r="R4" s="42" t="n"/>
      <c r="S4" s="43" t="n"/>
      <c r="T4" s="42" t="n"/>
      <c r="U4" s="44" t="n"/>
      <c r="V4" s="42" t="n"/>
      <c r="W4" s="35" t="n"/>
      <c r="X4" s="42" t="n"/>
      <c r="Y4" s="35" t="n"/>
      <c r="Z4" s="42" t="n"/>
      <c r="AA4" s="35" t="n"/>
      <c r="AB4" s="42" t="n"/>
      <c r="AC4" s="35" t="n"/>
      <c r="AD4" s="42" t="n"/>
      <c r="AE4" s="35" t="n"/>
      <c r="AF4" s="42" t="n"/>
      <c r="AG4" s="35" t="n"/>
      <c r="AH4" s="42" t="n"/>
      <c r="AI4" s="35" t="n"/>
      <c r="AJ4" s="42" t="n"/>
      <c r="AK4" s="35" t="n"/>
      <c r="AL4" s="42" t="n"/>
      <c r="AM4" s="35" t="n"/>
      <c r="AN4" s="42" t="n"/>
      <c r="AO4" s="35" t="n"/>
      <c r="AP4" s="42" t="n"/>
      <c r="AQ4" s="35" t="n"/>
      <c r="AR4" s="42" t="n"/>
      <c r="AS4" s="35" t="n"/>
      <c r="AT4" s="42" t="n"/>
      <c r="AU4" s="35" t="n"/>
      <c r="AV4" s="42" t="n"/>
      <c r="AW4" s="35" t="n"/>
      <c r="AX4" s="42" t="n"/>
      <c r="AY4" s="35" t="n"/>
    </row>
    <row r="5">
      <c r="A5" s="45" t="inlineStr">
        <is>
          <t>Materials</t>
        </is>
      </c>
      <c r="B5" s="46" t="n"/>
      <c r="C5" s="47" t="n"/>
      <c r="D5" s="48" t="n"/>
      <c r="E5" s="49" t="n"/>
      <c r="F5" s="45" t="n"/>
      <c r="G5" s="125" t="n"/>
      <c r="H5" s="51" t="n"/>
      <c r="I5" s="52" t="n"/>
      <c r="J5" s="53" t="n"/>
      <c r="L5" s="47" t="n"/>
      <c r="M5" s="54" t="n"/>
      <c r="N5" s="47" t="n"/>
      <c r="O5" s="54" t="n"/>
      <c r="P5" s="47" t="n"/>
      <c r="Q5" s="54" t="n"/>
      <c r="R5" s="47" t="n"/>
      <c r="S5" s="54" t="n"/>
      <c r="T5" s="47" t="n"/>
      <c r="U5" s="55" t="n"/>
      <c r="V5" s="47" t="n"/>
      <c r="W5" s="49" t="n"/>
      <c r="X5" s="47" t="n"/>
      <c r="Y5" s="49" t="n"/>
      <c r="Z5" s="47" t="n"/>
      <c r="AA5" s="49" t="n"/>
      <c r="AB5" s="47" t="n"/>
      <c r="AC5" s="49" t="n"/>
      <c r="AD5" s="47" t="n"/>
      <c r="AE5" s="49" t="n"/>
      <c r="AF5" s="47" t="n"/>
      <c r="AG5" s="49" t="n"/>
      <c r="AH5" s="47" t="n"/>
      <c r="AI5" s="49" t="n"/>
      <c r="AJ5" s="47" t="n"/>
      <c r="AK5" s="49" t="n"/>
      <c r="AL5" s="47" t="n"/>
      <c r="AM5" s="49" t="n"/>
      <c r="AN5" s="47" t="n"/>
      <c r="AO5" s="49" t="n"/>
      <c r="AP5" s="47" t="n"/>
      <c r="AQ5" s="49" t="n"/>
      <c r="AR5" s="47" t="n"/>
      <c r="AS5" s="49" t="n"/>
      <c r="AT5" s="47" t="n"/>
      <c r="AU5" s="49" t="n"/>
      <c r="AV5" s="47" t="n"/>
      <c r="AW5" s="49" t="n"/>
      <c r="AX5" s="47" t="n"/>
      <c r="AY5" s="49" t="n"/>
    </row>
    <row r="6">
      <c r="A6" s="56" t="inlineStr">
        <is>
          <t>SA01100VSO</t>
        </is>
      </c>
      <c r="B6" s="57" t="inlineStr">
        <is>
          <t>Case Setup: Vehicle Data Look-up Services Setup Fee (one time fee)</t>
        </is>
      </c>
      <c r="C6" s="126" t="n"/>
      <c r="D6" s="127" t="n"/>
      <c r="E6" s="38">
        <f>ROUND(C6*D6,2)</f>
        <v/>
      </c>
      <c r="F6" s="60" t="n"/>
      <c r="G6" s="128">
        <f t="array" ref="G6">SUMPRODUCT(L6:EZ6,--(MOD(COLUMN(L6:EZ6),2)=0))</f>
        <v/>
      </c>
      <c r="H6" s="38">
        <f t="array" ref="H6">SUMPRODUCT(L6:EZ6,MOD(COLUMN(L6:EZ6),2))</f>
        <v/>
      </c>
      <c r="I6" s="129">
        <f>D6-G6</f>
        <v/>
      </c>
      <c r="J6" s="40">
        <f>ROUND(E6,2)-ROUND(H6,2)</f>
        <v/>
      </c>
      <c r="K6" s="116">
        <f>IF(J6=0,"",IF(J6&lt;0,"IMPORTANT:  Over budget - Needs review","Currently at or under budget"))</f>
        <v/>
      </c>
      <c r="L6" s="130" t="n"/>
      <c r="M6" s="40">
        <f>L6*$C6</f>
        <v/>
      </c>
      <c r="N6" s="130" t="n"/>
      <c r="O6" s="40">
        <f>N6*$C6</f>
        <v/>
      </c>
      <c r="P6" s="130" t="n"/>
      <c r="Q6" s="40">
        <f>P6*$C6</f>
        <v/>
      </c>
      <c r="R6" s="130" t="n"/>
      <c r="S6" s="40">
        <f>R6*$C6</f>
        <v/>
      </c>
      <c r="T6" s="130" t="n"/>
      <c r="U6" s="64">
        <f>T6*$C6</f>
        <v/>
      </c>
      <c r="V6" s="130" t="n"/>
      <c r="W6" s="38">
        <f>V6*$C6</f>
        <v/>
      </c>
      <c r="X6" s="130" t="n"/>
      <c r="Y6" s="38">
        <f>X6*$C6</f>
        <v/>
      </c>
      <c r="Z6" s="130" t="n"/>
      <c r="AA6" s="38">
        <f>Z6*$C6</f>
        <v/>
      </c>
      <c r="AB6" s="130" t="n"/>
      <c r="AC6" s="38">
        <f>AB6*$C6</f>
        <v/>
      </c>
      <c r="AD6" s="130" t="n"/>
      <c r="AE6" s="38">
        <f>AD6*$C6</f>
        <v/>
      </c>
      <c r="AF6" s="130" t="n"/>
      <c r="AG6" s="38">
        <f>AF6*$C6</f>
        <v/>
      </c>
      <c r="AH6" s="130" t="n"/>
      <c r="AI6" s="38">
        <f>AH6*$C6</f>
        <v/>
      </c>
      <c r="AJ6" s="130" t="n"/>
      <c r="AK6" s="38">
        <f>AJ6*$C6</f>
        <v/>
      </c>
      <c r="AL6" s="130" t="n"/>
      <c r="AM6" s="38">
        <f>AL6*$C6</f>
        <v/>
      </c>
      <c r="AN6" s="130" t="n"/>
      <c r="AO6" s="38">
        <f>AN6*$C6</f>
        <v/>
      </c>
      <c r="AP6" s="130" t="n"/>
      <c r="AQ6" s="38">
        <f>AP6*$C6</f>
        <v/>
      </c>
      <c r="AR6" s="130" t="n"/>
      <c r="AS6" s="38">
        <f>AR6*$C6</f>
        <v/>
      </c>
      <c r="AT6" s="130" t="n"/>
      <c r="AU6" s="38">
        <f>AT6*$C6</f>
        <v/>
      </c>
      <c r="AV6" s="130" t="n"/>
      <c r="AW6" s="38">
        <f>AV6*$C6</f>
        <v/>
      </c>
      <c r="AX6" s="130" t="n"/>
      <c r="AY6" s="38">
        <f>AX6*$C6</f>
        <v/>
      </c>
    </row>
    <row r="7">
      <c r="A7" s="56" t="inlineStr">
        <is>
          <t>SA01200VLR</t>
        </is>
      </c>
      <c r="B7" s="57" t="inlineStr">
        <is>
          <t>Case Setup: Vehicle Look-up Data Feed (per record)</t>
        </is>
      </c>
      <c r="C7" s="126" t="n"/>
      <c r="D7" s="127" t="n"/>
      <c r="E7" s="38">
        <f>ROUND(C7*D7,2)</f>
        <v/>
      </c>
      <c r="F7" s="60" t="n"/>
      <c r="G7" s="128">
        <f t="array" ref="G7">SUMPRODUCT(L7:EZ7,--(MOD(COLUMN(L7:EZ7),2)=0))</f>
        <v/>
      </c>
      <c r="H7" s="38">
        <f t="array" ref="H7">SUMPRODUCT(L7:EZ7,MOD(COLUMN(L7:EZ7),2))</f>
        <v/>
      </c>
      <c r="I7" s="129">
        <f>D7-G7</f>
        <v/>
      </c>
      <c r="J7" s="40">
        <f>ROUND(E7,2)-ROUND(H7,2)</f>
        <v/>
      </c>
      <c r="K7" s="116">
        <f>IF(J7=0,"",IF(J7&lt;0,"IMPORTANT:  Over budget - Needs review","Currently at or under budget"))</f>
        <v/>
      </c>
      <c r="L7" s="130" t="n"/>
      <c r="M7" s="40">
        <f>L7*$C7</f>
        <v/>
      </c>
      <c r="N7" s="130" t="n"/>
      <c r="O7" s="40">
        <f>N7*$C7</f>
        <v/>
      </c>
      <c r="P7" s="130" t="n"/>
      <c r="Q7" s="40">
        <f>P7*$C7</f>
        <v/>
      </c>
      <c r="R7" s="130" t="n"/>
      <c r="S7" s="40">
        <f>R7*$C7</f>
        <v/>
      </c>
      <c r="T7" s="130" t="n"/>
      <c r="U7" s="64">
        <f>T7*$C7</f>
        <v/>
      </c>
      <c r="V7" s="130" t="n"/>
      <c r="W7" s="38">
        <f>V7*$C7</f>
        <v/>
      </c>
      <c r="X7" s="130" t="n"/>
      <c r="Y7" s="38">
        <f>X7*$C7</f>
        <v/>
      </c>
      <c r="Z7" s="130" t="n"/>
      <c r="AA7" s="38">
        <f>Z7*$C7</f>
        <v/>
      </c>
      <c r="AB7" s="130" t="n"/>
      <c r="AC7" s="38">
        <f>AB7*$C7</f>
        <v/>
      </c>
      <c r="AD7" s="130" t="n"/>
      <c r="AE7" s="38">
        <f>AD7*$C7</f>
        <v/>
      </c>
      <c r="AF7" s="130" t="n"/>
      <c r="AG7" s="38">
        <f>AF7*$C7</f>
        <v/>
      </c>
      <c r="AH7" s="130" t="n"/>
      <c r="AI7" s="38">
        <f>AH7*$C7</f>
        <v/>
      </c>
      <c r="AJ7" s="130" t="n"/>
      <c r="AK7" s="38">
        <f>AJ7*$C7</f>
        <v/>
      </c>
      <c r="AL7" s="130" t="n"/>
      <c r="AM7" s="38">
        <f>AL7*$C7</f>
        <v/>
      </c>
      <c r="AN7" s="130" t="n"/>
      <c r="AO7" s="38">
        <f>AN7*$C7</f>
        <v/>
      </c>
      <c r="AP7" s="130" t="n"/>
      <c r="AQ7" s="38">
        <f>AP7*$C7</f>
        <v/>
      </c>
      <c r="AR7" s="130" t="n"/>
      <c r="AS7" s="38">
        <f>AR7*$C7</f>
        <v/>
      </c>
      <c r="AT7" s="130" t="n"/>
      <c r="AU7" s="38">
        <f>AT7*$C7</f>
        <v/>
      </c>
      <c r="AV7" s="130" t="n"/>
      <c r="AW7" s="38">
        <f>AV7*$C7</f>
        <v/>
      </c>
      <c r="AX7" s="130" t="n"/>
      <c r="AY7" s="38">
        <f>AX7*$C7</f>
        <v/>
      </c>
    </row>
    <row r="8">
      <c r="A8" s="56" t="inlineStr">
        <is>
          <t>SA01300EAR</t>
        </is>
      </c>
      <c r="B8" s="57" t="inlineStr">
        <is>
          <t>Case Setup: Enhanced Address Standardization (per record)</t>
        </is>
      </c>
      <c r="C8" s="126" t="n"/>
      <c r="D8" s="127" t="n"/>
      <c r="E8" s="38">
        <f>ROUND(C8*D8,2)</f>
        <v/>
      </c>
      <c r="F8" s="60" t="n"/>
      <c r="G8" s="128">
        <f t="array" ref="G8">SUMPRODUCT(L8:EZ8,--(MOD(COLUMN(L8:EZ8),2)=0))</f>
        <v/>
      </c>
      <c r="H8" s="38">
        <f t="array" ref="H8">SUMPRODUCT(L8:EZ8,MOD(COLUMN(L8:EZ8),2))</f>
        <v/>
      </c>
      <c r="I8" s="129">
        <f>D8-G8</f>
        <v/>
      </c>
      <c r="J8" s="40">
        <f>ROUND(E8,2)-ROUND(H8,2)</f>
        <v/>
      </c>
      <c r="K8" s="116">
        <f>IF(J8=0,"",IF(J8&lt;0,"IMPORTANT:  Over budget - Needs review","Currently at or under budget"))</f>
        <v/>
      </c>
      <c r="L8" s="130" t="n"/>
      <c r="M8" s="40">
        <f>L8*$C8</f>
        <v/>
      </c>
      <c r="N8" s="130" t="n"/>
      <c r="O8" s="40">
        <f>N8*$C8</f>
        <v/>
      </c>
      <c r="P8" s="130" t="n"/>
      <c r="Q8" s="40">
        <f>P8*$C8</f>
        <v/>
      </c>
      <c r="R8" s="130" t="n"/>
      <c r="S8" s="40">
        <f>R8*$C8</f>
        <v/>
      </c>
      <c r="T8" s="130" t="n"/>
      <c r="U8" s="64">
        <f>T8*$C8</f>
        <v/>
      </c>
      <c r="V8" s="130" t="n"/>
      <c r="W8" s="38">
        <f>V8*$C8</f>
        <v/>
      </c>
      <c r="X8" s="130" t="n"/>
      <c r="Y8" s="38">
        <f>X8*$C8</f>
        <v/>
      </c>
      <c r="Z8" s="130" t="n"/>
      <c r="AA8" s="38">
        <f>Z8*$C8</f>
        <v/>
      </c>
      <c r="AB8" s="130" t="n"/>
      <c r="AC8" s="38">
        <f>AB8*$C8</f>
        <v/>
      </c>
      <c r="AD8" s="130" t="n"/>
      <c r="AE8" s="38">
        <f>AD8*$C8</f>
        <v/>
      </c>
      <c r="AF8" s="130" t="n"/>
      <c r="AG8" s="38">
        <f>AF8*$C8</f>
        <v/>
      </c>
      <c r="AH8" s="130" t="n"/>
      <c r="AI8" s="38">
        <f>AH8*$C8</f>
        <v/>
      </c>
      <c r="AJ8" s="130" t="n"/>
      <c r="AK8" s="38">
        <f>AJ8*$C8</f>
        <v/>
      </c>
      <c r="AL8" s="130" t="n"/>
      <c r="AM8" s="38">
        <f>AL8*$C8</f>
        <v/>
      </c>
      <c r="AN8" s="130" t="n"/>
      <c r="AO8" s="38">
        <f>AN8*$C8</f>
        <v/>
      </c>
      <c r="AP8" s="130" t="n"/>
      <c r="AQ8" s="38">
        <f>AP8*$C8</f>
        <v/>
      </c>
      <c r="AR8" s="130" t="n"/>
      <c r="AS8" s="38">
        <f>AR8*$C8</f>
        <v/>
      </c>
      <c r="AT8" s="130" t="n"/>
      <c r="AU8" s="38">
        <f>AT8*$C8</f>
        <v/>
      </c>
      <c r="AV8" s="130" t="n"/>
      <c r="AW8" s="38">
        <f>AV8*$C8</f>
        <v/>
      </c>
      <c r="AX8" s="130" t="n"/>
      <c r="AY8" s="38">
        <f>AX8*$C8</f>
        <v/>
      </c>
    </row>
    <row r="9">
      <c r="A9" s="56" t="inlineStr">
        <is>
          <t>SA01400SRR</t>
        </is>
      </c>
      <c r="B9" s="57" t="inlineStr">
        <is>
          <t>Case Setup: State Record Charges (per record)</t>
        </is>
      </c>
      <c r="C9" s="126" t="n"/>
      <c r="D9" s="127" t="n"/>
      <c r="E9" s="38">
        <f>ROUND(C9*D9,2)</f>
        <v/>
      </c>
      <c r="F9" s="60" t="n"/>
      <c r="G9" s="128">
        <f t="array" ref="G9">SUMPRODUCT(L9:EZ9,--(MOD(COLUMN(L9:EZ9),2)=0))</f>
        <v/>
      </c>
      <c r="H9" s="38">
        <f t="array" ref="H9">SUMPRODUCT(L9:EZ9,MOD(COLUMN(L9:EZ9),2))</f>
        <v/>
      </c>
      <c r="I9" s="129">
        <f>D9-G9</f>
        <v/>
      </c>
      <c r="J9" s="40">
        <f>ROUND(E9,2)-ROUND(H9,2)</f>
        <v/>
      </c>
      <c r="K9" s="116">
        <f>IF(J9=0,"",IF(J9&lt;0,"IMPORTANT:  Over budget - Needs review","Currently at or under budget"))</f>
        <v/>
      </c>
      <c r="L9" s="130" t="n"/>
      <c r="M9" s="40">
        <f>L9*$C9</f>
        <v/>
      </c>
      <c r="N9" s="130" t="n"/>
      <c r="O9" s="40">
        <f>N9*$C9</f>
        <v/>
      </c>
      <c r="P9" s="130" t="n"/>
      <c r="Q9" s="40">
        <f>P9*$C9</f>
        <v/>
      </c>
      <c r="R9" s="130" t="n"/>
      <c r="S9" s="40">
        <f>R9*$C9</f>
        <v/>
      </c>
      <c r="T9" s="130" t="n"/>
      <c r="U9" s="64">
        <f>T9*$C9</f>
        <v/>
      </c>
      <c r="V9" s="130" t="n"/>
      <c r="W9" s="38">
        <f>V9*$C9</f>
        <v/>
      </c>
      <c r="X9" s="130" t="n"/>
      <c r="Y9" s="38">
        <f>X9*$C9</f>
        <v/>
      </c>
      <c r="Z9" s="130" t="n"/>
      <c r="AA9" s="38">
        <f>Z9*$C9</f>
        <v/>
      </c>
      <c r="AB9" s="130" t="n"/>
      <c r="AC9" s="38">
        <f>AB9*$C9</f>
        <v/>
      </c>
      <c r="AD9" s="130" t="n"/>
      <c r="AE9" s="38">
        <f>AD9*$C9</f>
        <v/>
      </c>
      <c r="AF9" s="130" t="n"/>
      <c r="AG9" s="38">
        <f>AF9*$C9</f>
        <v/>
      </c>
      <c r="AH9" s="130" t="n"/>
      <c r="AI9" s="38">
        <f>AH9*$C9</f>
        <v/>
      </c>
      <c r="AJ9" s="130" t="n"/>
      <c r="AK9" s="38">
        <f>AJ9*$C9</f>
        <v/>
      </c>
      <c r="AL9" s="130" t="n"/>
      <c r="AM9" s="38">
        <f>AL9*$C9</f>
        <v/>
      </c>
      <c r="AN9" s="130" t="n"/>
      <c r="AO9" s="38">
        <f>AN9*$C9</f>
        <v/>
      </c>
      <c r="AP9" s="130" t="n"/>
      <c r="AQ9" s="38">
        <f>AP9*$C9</f>
        <v/>
      </c>
      <c r="AR9" s="130" t="n"/>
      <c r="AS9" s="38">
        <f>AR9*$C9</f>
        <v/>
      </c>
      <c r="AT9" s="130" t="n"/>
      <c r="AU9" s="38">
        <f>AT9*$C9</f>
        <v/>
      </c>
      <c r="AV9" s="130" t="n"/>
      <c r="AW9" s="38">
        <f>AV9*$C9</f>
        <v/>
      </c>
      <c r="AX9" s="130" t="n"/>
      <c r="AY9" s="38">
        <f>AX9*$C9</f>
        <v/>
      </c>
    </row>
    <row r="10">
      <c r="A10" s="56" t="inlineStr">
        <is>
          <t>SA01420DDR</t>
        </is>
      </c>
      <c r="B10" s="57" t="inlineStr">
        <is>
          <t>Case Setup: Document drafting (one time)</t>
        </is>
      </c>
      <c r="C10" s="126" t="n"/>
      <c r="D10" s="127" t="n"/>
      <c r="E10" s="38">
        <f>ROUND(C10*D10,2)</f>
        <v/>
      </c>
      <c r="F10" s="60" t="n"/>
      <c r="G10" s="128">
        <f t="array" ref="G10">SUMPRODUCT(L10:EZ10,--(MOD(COLUMN(L10:EZ10),2)=0))</f>
        <v/>
      </c>
      <c r="H10" s="38">
        <f t="array" ref="H10">SUMPRODUCT(L10:EZ10,MOD(COLUMN(L10:EZ10),2))</f>
        <v/>
      </c>
      <c r="I10" s="129">
        <f>D10-G10</f>
        <v/>
      </c>
      <c r="J10" s="40">
        <f>ROUND(E10,2)-ROUND(H10,2)</f>
        <v/>
      </c>
      <c r="K10" s="116">
        <f>IF(J10=0,"",IF(J10&lt;0,"IMPORTANT:  Over budget - Needs review","Currently at or under budget"))</f>
        <v/>
      </c>
      <c r="L10" s="130" t="n"/>
      <c r="M10" s="40">
        <f>L10*$C10</f>
        <v/>
      </c>
      <c r="N10" s="130" t="n"/>
      <c r="O10" s="40">
        <f>N10*$C10</f>
        <v/>
      </c>
      <c r="P10" s="130" t="n"/>
      <c r="Q10" s="40">
        <f>P10*$C10</f>
        <v/>
      </c>
      <c r="R10" s="130" t="n"/>
      <c r="S10" s="40">
        <f>R10*$C10</f>
        <v/>
      </c>
      <c r="T10" s="130" t="n"/>
      <c r="U10" s="64">
        <f>T10*$C10</f>
        <v/>
      </c>
      <c r="V10" s="130" t="n"/>
      <c r="W10" s="38">
        <f>V10*$C10</f>
        <v/>
      </c>
      <c r="X10" s="130" t="n"/>
      <c r="Y10" s="38">
        <f>X10*$C10</f>
        <v/>
      </c>
      <c r="Z10" s="130" t="n"/>
      <c r="AA10" s="38">
        <f>Z10*$C10</f>
        <v/>
      </c>
      <c r="AB10" s="130" t="n"/>
      <c r="AC10" s="38">
        <f>AB10*$C10</f>
        <v/>
      </c>
      <c r="AD10" s="130" t="n"/>
      <c r="AE10" s="38">
        <f>AD10*$C10</f>
        <v/>
      </c>
      <c r="AF10" s="130" t="n"/>
      <c r="AG10" s="38">
        <f>AF10*$C10</f>
        <v/>
      </c>
      <c r="AH10" s="130" t="n"/>
      <c r="AI10" s="38">
        <f>AH10*$C10</f>
        <v/>
      </c>
      <c r="AJ10" s="130" t="n"/>
      <c r="AK10" s="38">
        <f>AJ10*$C10</f>
        <v/>
      </c>
      <c r="AL10" s="130" t="n"/>
      <c r="AM10" s="38">
        <f>AL10*$C10</f>
        <v/>
      </c>
      <c r="AN10" s="130" t="n"/>
      <c r="AO10" s="38">
        <f>AN10*$C10</f>
        <v/>
      </c>
      <c r="AP10" s="130" t="n"/>
      <c r="AQ10" s="38">
        <f>AP10*$C10</f>
        <v/>
      </c>
      <c r="AR10" s="130" t="n"/>
      <c r="AS10" s="38">
        <f>AR10*$C10</f>
        <v/>
      </c>
      <c r="AT10" s="130" t="n"/>
      <c r="AU10" s="38">
        <f>AT10*$C10</f>
        <v/>
      </c>
      <c r="AV10" s="130" t="n"/>
      <c r="AW10" s="38">
        <f>AV10*$C10</f>
        <v/>
      </c>
      <c r="AX10" s="130" t="n"/>
      <c r="AY10" s="38">
        <f>AX10*$C10</f>
        <v/>
      </c>
    </row>
    <row r="11">
      <c r="A11" s="56" t="inlineStr">
        <is>
          <t>SA01440PCL</t>
        </is>
      </c>
      <c r="B11" s="57" t="inlineStr">
        <is>
          <t>Case Setup: Pre-notice class list development search (round 1) (per piece)</t>
        </is>
      </c>
      <c r="C11" s="126" t="n"/>
      <c r="D11" s="127" t="n"/>
      <c r="E11" s="38">
        <f>ROUND(C11*D11,2)</f>
        <v/>
      </c>
      <c r="F11" s="60" t="n"/>
      <c r="G11" s="128">
        <f t="array" ref="G11">SUMPRODUCT(L11:EZ11,--(MOD(COLUMN(L11:EZ11),2)=0))</f>
        <v/>
      </c>
      <c r="H11" s="38">
        <f t="array" ref="H11">SUMPRODUCT(L11:EZ11,MOD(COLUMN(L11:EZ11),2))</f>
        <v/>
      </c>
      <c r="I11" s="129">
        <f>D11-G11</f>
        <v/>
      </c>
      <c r="J11" s="40">
        <f>ROUND(E11,2)-ROUND(H11,2)</f>
        <v/>
      </c>
      <c r="K11" s="116">
        <f>IF(J11=0,"",IF(J11&lt;0,"IMPORTANT:  Over budget - Needs review","Currently at or under budget"))</f>
        <v/>
      </c>
      <c r="L11" s="130" t="n"/>
      <c r="M11" s="40">
        <f>L11*$C11</f>
        <v/>
      </c>
      <c r="N11" s="130" t="n"/>
      <c r="O11" s="40">
        <f>N11*$C11</f>
        <v/>
      </c>
      <c r="P11" s="130" t="n"/>
      <c r="Q11" s="40">
        <f>P11*$C11</f>
        <v/>
      </c>
      <c r="R11" s="130" t="n"/>
      <c r="S11" s="40">
        <f>R11*$C11</f>
        <v/>
      </c>
      <c r="T11" s="130" t="n"/>
      <c r="U11" s="64">
        <f>T11*$C11</f>
        <v/>
      </c>
      <c r="V11" s="130" t="n"/>
      <c r="W11" s="38">
        <f>V11*$C11</f>
        <v/>
      </c>
      <c r="X11" s="130" t="n"/>
      <c r="Y11" s="38">
        <f>X11*$C11</f>
        <v/>
      </c>
      <c r="Z11" s="130" t="n"/>
      <c r="AA11" s="38">
        <f>Z11*$C11</f>
        <v/>
      </c>
      <c r="AB11" s="130" t="n"/>
      <c r="AC11" s="38">
        <f>AB11*$C11</f>
        <v/>
      </c>
      <c r="AD11" s="130" t="n"/>
      <c r="AE11" s="38">
        <f>AD11*$C11</f>
        <v/>
      </c>
      <c r="AF11" s="130" t="n"/>
      <c r="AG11" s="38">
        <f>AF11*$C11</f>
        <v/>
      </c>
      <c r="AH11" s="130" t="n"/>
      <c r="AI11" s="38">
        <f>AH11*$C11</f>
        <v/>
      </c>
      <c r="AJ11" s="130" t="n"/>
      <c r="AK11" s="38">
        <f>AJ11*$C11</f>
        <v/>
      </c>
      <c r="AL11" s="130" t="n"/>
      <c r="AM11" s="38">
        <f>AL11*$C11</f>
        <v/>
      </c>
      <c r="AN11" s="130" t="n"/>
      <c r="AO11" s="38">
        <f>AN11*$C11</f>
        <v/>
      </c>
      <c r="AP11" s="130" t="n"/>
      <c r="AQ11" s="38">
        <f>AP11*$C11</f>
        <v/>
      </c>
      <c r="AR11" s="130" t="n"/>
      <c r="AS11" s="38">
        <f>AR11*$C11</f>
        <v/>
      </c>
      <c r="AT11" s="130" t="n"/>
      <c r="AU11" s="38">
        <f>AT11*$C11</f>
        <v/>
      </c>
      <c r="AV11" s="130" t="n"/>
      <c r="AW11" s="38">
        <f>AV11*$C11</f>
        <v/>
      </c>
      <c r="AX11" s="130" t="n"/>
      <c r="AY11" s="38">
        <f>AX11*$C11</f>
        <v/>
      </c>
    </row>
    <row r="12">
      <c r="A12" s="56" t="inlineStr">
        <is>
          <t>SA01445PCL</t>
        </is>
      </c>
      <c r="B12" s="57" t="inlineStr">
        <is>
          <t>Case Setup: Pre-notice class list development search (round 1) (one time)</t>
        </is>
      </c>
      <c r="C12" s="126" t="n"/>
      <c r="D12" s="127" t="n"/>
      <c r="E12" s="38">
        <f>ROUND(C12*D12,2)</f>
        <v/>
      </c>
      <c r="F12" s="60" t="n"/>
      <c r="G12" s="128">
        <f t="array" ref="G12">SUMPRODUCT(L12:EZ12,--(MOD(COLUMN(L12:EZ12),2)=0))</f>
        <v/>
      </c>
      <c r="H12" s="38">
        <f t="array" ref="H12">SUMPRODUCT(L12:EZ12,MOD(COLUMN(L12:EZ12),2))</f>
        <v/>
      </c>
      <c r="I12" s="129">
        <f>D12-G12</f>
        <v/>
      </c>
      <c r="J12" s="40">
        <f>ROUND(E12,2)-ROUND(H12,2)</f>
        <v/>
      </c>
      <c r="K12" s="116">
        <f>IF(J12=0,"",IF(J12&lt;0,"IMPORTANT:  Over budget - Needs review","Currently at or under budget"))</f>
        <v/>
      </c>
      <c r="L12" s="130" t="n"/>
      <c r="M12" s="40">
        <f>L12*$C12</f>
        <v/>
      </c>
      <c r="N12" s="130" t="n"/>
      <c r="O12" s="40">
        <f>N12*$C12</f>
        <v/>
      </c>
      <c r="P12" s="130" t="n"/>
      <c r="Q12" s="40">
        <f>P12*$C12</f>
        <v/>
      </c>
      <c r="R12" s="130" t="n"/>
      <c r="S12" s="40">
        <f>R12*$C12</f>
        <v/>
      </c>
      <c r="T12" s="130" t="n"/>
      <c r="U12" s="64">
        <f>T12*$C12</f>
        <v/>
      </c>
      <c r="V12" s="130" t="n"/>
      <c r="W12" s="38">
        <f>V12*$C12</f>
        <v/>
      </c>
      <c r="X12" s="130" t="n"/>
      <c r="Y12" s="38">
        <f>X12*$C12</f>
        <v/>
      </c>
      <c r="Z12" s="130" t="n"/>
      <c r="AA12" s="38">
        <f>Z12*$C12</f>
        <v/>
      </c>
      <c r="AB12" s="130" t="n"/>
      <c r="AC12" s="38">
        <f>AB12*$C12</f>
        <v/>
      </c>
      <c r="AD12" s="130" t="n"/>
      <c r="AE12" s="38">
        <f>AD12*$C12</f>
        <v/>
      </c>
      <c r="AF12" s="130" t="n"/>
      <c r="AG12" s="38">
        <f>AF12*$C12</f>
        <v/>
      </c>
      <c r="AH12" s="130" t="n"/>
      <c r="AI12" s="38">
        <f>AH12*$C12</f>
        <v/>
      </c>
      <c r="AJ12" s="130" t="n"/>
      <c r="AK12" s="38">
        <f>AJ12*$C12</f>
        <v/>
      </c>
      <c r="AL12" s="130" t="n"/>
      <c r="AM12" s="38">
        <f>AL12*$C12</f>
        <v/>
      </c>
      <c r="AN12" s="130" t="n"/>
      <c r="AO12" s="38">
        <f>AN12*$C12</f>
        <v/>
      </c>
      <c r="AP12" s="130" t="n"/>
      <c r="AQ12" s="38">
        <f>AP12*$C12</f>
        <v/>
      </c>
      <c r="AR12" s="130" t="n"/>
      <c r="AS12" s="38">
        <f>AR12*$C12</f>
        <v/>
      </c>
      <c r="AT12" s="130" t="n"/>
      <c r="AU12" s="38">
        <f>AT12*$C12</f>
        <v/>
      </c>
      <c r="AV12" s="130" t="n"/>
      <c r="AW12" s="38">
        <f>AV12*$C12</f>
        <v/>
      </c>
      <c r="AX12" s="130" t="n"/>
      <c r="AY12" s="38">
        <f>AX12*$C12</f>
        <v/>
      </c>
    </row>
    <row r="13">
      <c r="A13" s="56" t="inlineStr">
        <is>
          <t>SA01450PCL</t>
        </is>
      </c>
      <c r="B13" s="57" t="inlineStr">
        <is>
          <t>Case Setup: Pre-notice class list development search (round 2) (per piece)</t>
        </is>
      </c>
      <c r="C13" s="126" t="n"/>
      <c r="D13" s="127" t="n"/>
      <c r="E13" s="38">
        <f>ROUND(C13*D13,2)</f>
        <v/>
      </c>
      <c r="F13" s="60" t="n"/>
      <c r="G13" s="128">
        <f t="array" ref="G13">SUMPRODUCT(L13:EZ13,--(MOD(COLUMN(L13:EZ13),2)=0))</f>
        <v/>
      </c>
      <c r="H13" s="38">
        <f t="array" ref="H13">SUMPRODUCT(L13:EZ13,MOD(COLUMN(L13:EZ13),2))</f>
        <v/>
      </c>
      <c r="I13" s="129">
        <f>D13-G13</f>
        <v/>
      </c>
      <c r="J13" s="40">
        <f>ROUND(E13,2)-ROUND(H13,2)</f>
        <v/>
      </c>
      <c r="K13" s="116">
        <f>IF(J13=0,"",IF(J13&lt;0,"IMPORTANT:  Over budget - Needs review","Currently at or under budget"))</f>
        <v/>
      </c>
      <c r="L13" s="130" t="n"/>
      <c r="M13" s="40">
        <f>L13*$C13</f>
        <v/>
      </c>
      <c r="N13" s="130" t="n"/>
      <c r="O13" s="40">
        <f>N13*$C13</f>
        <v/>
      </c>
      <c r="P13" s="130" t="n"/>
      <c r="Q13" s="40">
        <f>P13*$C13</f>
        <v/>
      </c>
      <c r="R13" s="130" t="n"/>
      <c r="S13" s="40">
        <f>R13*$C13</f>
        <v/>
      </c>
      <c r="T13" s="130" t="n"/>
      <c r="U13" s="64">
        <f>T13*$C13</f>
        <v/>
      </c>
      <c r="V13" s="130" t="n"/>
      <c r="W13" s="38">
        <f>V13*$C13</f>
        <v/>
      </c>
      <c r="X13" s="130" t="n"/>
      <c r="Y13" s="38">
        <f>X13*$C13</f>
        <v/>
      </c>
      <c r="Z13" s="130" t="n"/>
      <c r="AA13" s="38">
        <f>Z13*$C13</f>
        <v/>
      </c>
      <c r="AB13" s="130" t="n"/>
      <c r="AC13" s="38">
        <f>AB13*$C13</f>
        <v/>
      </c>
      <c r="AD13" s="130" t="n"/>
      <c r="AE13" s="38">
        <f>AD13*$C13</f>
        <v/>
      </c>
      <c r="AF13" s="130" t="n"/>
      <c r="AG13" s="38">
        <f>AF13*$C13</f>
        <v/>
      </c>
      <c r="AH13" s="130" t="n"/>
      <c r="AI13" s="38">
        <f>AH13*$C13</f>
        <v/>
      </c>
      <c r="AJ13" s="130" t="n"/>
      <c r="AK13" s="38">
        <f>AJ13*$C13</f>
        <v/>
      </c>
      <c r="AL13" s="130" t="n"/>
      <c r="AM13" s="38">
        <f>AL13*$C13</f>
        <v/>
      </c>
      <c r="AN13" s="130" t="n"/>
      <c r="AO13" s="38">
        <f>AN13*$C13</f>
        <v/>
      </c>
      <c r="AP13" s="130" t="n"/>
      <c r="AQ13" s="38">
        <f>AP13*$C13</f>
        <v/>
      </c>
      <c r="AR13" s="130" t="n"/>
      <c r="AS13" s="38">
        <f>AR13*$C13</f>
        <v/>
      </c>
      <c r="AT13" s="130" t="n"/>
      <c r="AU13" s="38">
        <f>AT13*$C13</f>
        <v/>
      </c>
      <c r="AV13" s="130" t="n"/>
      <c r="AW13" s="38">
        <f>AV13*$C13</f>
        <v/>
      </c>
      <c r="AX13" s="130" t="n"/>
      <c r="AY13" s="38">
        <f>AX13*$C13</f>
        <v/>
      </c>
    </row>
    <row r="14">
      <c r="A14" s="56" t="inlineStr">
        <is>
          <t>SA01455PCL</t>
        </is>
      </c>
      <c r="B14" s="57" t="inlineStr">
        <is>
          <t>Case Setup: Pre-notice class list development search (round 2) (one time)</t>
        </is>
      </c>
      <c r="C14" s="126" t="n"/>
      <c r="D14" s="127" t="n"/>
      <c r="E14" s="38">
        <f>ROUND(C14*D14,2)</f>
        <v/>
      </c>
      <c r="F14" s="60" t="n"/>
      <c r="G14" s="128">
        <f t="array" ref="G14">SUMPRODUCT(L14:EZ14,--(MOD(COLUMN(L14:EZ14),2)=0))</f>
        <v/>
      </c>
      <c r="H14" s="38">
        <f t="array" ref="H14">SUMPRODUCT(L14:EZ14,MOD(COLUMN(L14:EZ14),2))</f>
        <v/>
      </c>
      <c r="I14" s="129">
        <f>D14-G14</f>
        <v/>
      </c>
      <c r="J14" s="40">
        <f>ROUND(E14,2)-ROUND(H14,2)</f>
        <v/>
      </c>
      <c r="K14" s="116">
        <f>IF(J14=0,"",IF(J14&lt;0,"IMPORTANT:  Over budget - Needs review","Currently at or under budget"))</f>
        <v/>
      </c>
      <c r="L14" s="130" t="n"/>
      <c r="M14" s="40">
        <f>L14*$C14</f>
        <v/>
      </c>
      <c r="N14" s="130" t="n"/>
      <c r="O14" s="40">
        <f>N14*$C14</f>
        <v/>
      </c>
      <c r="P14" s="130" t="n"/>
      <c r="Q14" s="40">
        <f>P14*$C14</f>
        <v/>
      </c>
      <c r="R14" s="130" t="n"/>
      <c r="S14" s="40">
        <f>R14*$C14</f>
        <v/>
      </c>
      <c r="T14" s="130" t="n"/>
      <c r="U14" s="64">
        <f>T14*$C14</f>
        <v/>
      </c>
      <c r="V14" s="130" t="n"/>
      <c r="W14" s="38">
        <f>V14*$C14</f>
        <v/>
      </c>
      <c r="X14" s="130" t="n"/>
      <c r="Y14" s="38">
        <f>X14*$C14</f>
        <v/>
      </c>
      <c r="Z14" s="130" t="n"/>
      <c r="AA14" s="38">
        <f>Z14*$C14</f>
        <v/>
      </c>
      <c r="AB14" s="130" t="n"/>
      <c r="AC14" s="38">
        <f>AB14*$C14</f>
        <v/>
      </c>
      <c r="AD14" s="130" t="n"/>
      <c r="AE14" s="38">
        <f>AD14*$C14</f>
        <v/>
      </c>
      <c r="AF14" s="130" t="n"/>
      <c r="AG14" s="38">
        <f>AF14*$C14</f>
        <v/>
      </c>
      <c r="AH14" s="130" t="n"/>
      <c r="AI14" s="38">
        <f>AH14*$C14</f>
        <v/>
      </c>
      <c r="AJ14" s="130" t="n"/>
      <c r="AK14" s="38">
        <f>AJ14*$C14</f>
        <v/>
      </c>
      <c r="AL14" s="130" t="n"/>
      <c r="AM14" s="38">
        <f>AL14*$C14</f>
        <v/>
      </c>
      <c r="AN14" s="130" t="n"/>
      <c r="AO14" s="38">
        <f>AN14*$C14</f>
        <v/>
      </c>
      <c r="AP14" s="130" t="n"/>
      <c r="AQ14" s="38">
        <f>AP14*$C14</f>
        <v/>
      </c>
      <c r="AR14" s="130" t="n"/>
      <c r="AS14" s="38">
        <f>AR14*$C14</f>
        <v/>
      </c>
      <c r="AT14" s="130" t="n"/>
      <c r="AU14" s="38">
        <f>AT14*$C14</f>
        <v/>
      </c>
      <c r="AV14" s="130" t="n"/>
      <c r="AW14" s="38">
        <f>AV14*$C14</f>
        <v/>
      </c>
      <c r="AX14" s="130" t="n"/>
      <c r="AY14" s="38">
        <f>AX14*$C14</f>
        <v/>
      </c>
    </row>
    <row r="15">
      <c r="A15" s="56" t="inlineStr">
        <is>
          <t>SA01460PCL</t>
        </is>
      </c>
      <c r="B15" s="57" t="inlineStr">
        <is>
          <t>Case Setup: Pre-notice class list development search (round 3) (per piece)</t>
        </is>
      </c>
      <c r="C15" s="126" t="n"/>
      <c r="D15" s="127" t="n"/>
      <c r="E15" s="38">
        <f>ROUND(C15*D15,2)</f>
        <v/>
      </c>
      <c r="F15" s="60" t="n"/>
      <c r="G15" s="128">
        <f t="array" ref="G15">SUMPRODUCT(L15:EZ15,--(MOD(COLUMN(L15:EZ15),2)=0))</f>
        <v/>
      </c>
      <c r="H15" s="38">
        <f t="array" ref="H15">SUMPRODUCT(L15:EZ15,MOD(COLUMN(L15:EZ15),2))</f>
        <v/>
      </c>
      <c r="I15" s="129">
        <f>D15-G15</f>
        <v/>
      </c>
      <c r="J15" s="40">
        <f>ROUND(E15,2)-ROUND(H15,2)</f>
        <v/>
      </c>
      <c r="K15" s="116">
        <f>IF(J15=0,"",IF(J15&lt;0,"IMPORTANT:  Over budget - Needs review","Currently at or under budget"))</f>
        <v/>
      </c>
      <c r="L15" s="130" t="n"/>
      <c r="M15" s="40">
        <f>L15*$C15</f>
        <v/>
      </c>
      <c r="N15" s="130" t="n"/>
      <c r="O15" s="40">
        <f>N15*$C15</f>
        <v/>
      </c>
      <c r="P15" s="130" t="n"/>
      <c r="Q15" s="40">
        <f>P15*$C15</f>
        <v/>
      </c>
      <c r="R15" s="130" t="n"/>
      <c r="S15" s="40">
        <f>R15*$C15</f>
        <v/>
      </c>
      <c r="T15" s="130" t="n"/>
      <c r="U15" s="64">
        <f>T15*$C15</f>
        <v/>
      </c>
      <c r="V15" s="130" t="n"/>
      <c r="W15" s="38">
        <f>V15*$C15</f>
        <v/>
      </c>
      <c r="X15" s="130" t="n"/>
      <c r="Y15" s="38">
        <f>X15*$C15</f>
        <v/>
      </c>
      <c r="Z15" s="130" t="n"/>
      <c r="AA15" s="38">
        <f>Z15*$C15</f>
        <v/>
      </c>
      <c r="AB15" s="130" t="n"/>
      <c r="AC15" s="38">
        <f>AB15*$C15</f>
        <v/>
      </c>
      <c r="AD15" s="130" t="n"/>
      <c r="AE15" s="38">
        <f>AD15*$C15</f>
        <v/>
      </c>
      <c r="AF15" s="130" t="n"/>
      <c r="AG15" s="38">
        <f>AF15*$C15</f>
        <v/>
      </c>
      <c r="AH15" s="130" t="n"/>
      <c r="AI15" s="38">
        <f>AH15*$C15</f>
        <v/>
      </c>
      <c r="AJ15" s="130" t="n"/>
      <c r="AK15" s="38">
        <f>AJ15*$C15</f>
        <v/>
      </c>
      <c r="AL15" s="130" t="n"/>
      <c r="AM15" s="38">
        <f>AL15*$C15</f>
        <v/>
      </c>
      <c r="AN15" s="130" t="n"/>
      <c r="AO15" s="38">
        <f>AN15*$C15</f>
        <v/>
      </c>
      <c r="AP15" s="130" t="n"/>
      <c r="AQ15" s="38">
        <f>AP15*$C15</f>
        <v/>
      </c>
      <c r="AR15" s="130" t="n"/>
      <c r="AS15" s="38">
        <f>AR15*$C15</f>
        <v/>
      </c>
      <c r="AT15" s="130" t="n"/>
      <c r="AU15" s="38">
        <f>AT15*$C15</f>
        <v/>
      </c>
      <c r="AV15" s="130" t="n"/>
      <c r="AW15" s="38">
        <f>AV15*$C15</f>
        <v/>
      </c>
      <c r="AX15" s="130" t="n"/>
      <c r="AY15" s="38">
        <f>AX15*$C15</f>
        <v/>
      </c>
    </row>
    <row r="16">
      <c r="A16" s="56" t="inlineStr">
        <is>
          <t>SA01465PCL</t>
        </is>
      </c>
      <c r="B16" s="57" t="inlineStr">
        <is>
          <t>Case Setup: Pre-notice class list development search (round 4) (per piece)</t>
        </is>
      </c>
      <c r="C16" s="126" t="n"/>
      <c r="D16" s="127" t="n"/>
      <c r="E16" s="38">
        <f>ROUND(C16*D16,2)</f>
        <v/>
      </c>
      <c r="F16" s="60" t="n"/>
      <c r="G16" s="128">
        <f t="array" ref="G16">SUMPRODUCT(L16:EZ16,--(MOD(COLUMN(L16:EZ16),2)=0))</f>
        <v/>
      </c>
      <c r="H16" s="38">
        <f t="array" ref="H16">SUMPRODUCT(L16:EZ16,MOD(COLUMN(L16:EZ16),2))</f>
        <v/>
      </c>
      <c r="I16" s="129">
        <f>D16-G16</f>
        <v/>
      </c>
      <c r="J16" s="40">
        <f>ROUND(E16,2)-ROUND(H16,2)</f>
        <v/>
      </c>
      <c r="K16" s="116">
        <f>IF(J16=0,"",IF(J16&lt;0,"IMPORTANT:  Over budget - Needs review","Currently at or under budget"))</f>
        <v/>
      </c>
      <c r="L16" s="130" t="n"/>
      <c r="M16" s="40">
        <f>L16*$C16</f>
        <v/>
      </c>
      <c r="N16" s="130" t="n"/>
      <c r="O16" s="40">
        <f>N16*$C16</f>
        <v/>
      </c>
      <c r="P16" s="130" t="n"/>
      <c r="Q16" s="40">
        <f>P16*$C16</f>
        <v/>
      </c>
      <c r="R16" s="130" t="n"/>
      <c r="S16" s="40">
        <f>R16*$C16</f>
        <v/>
      </c>
      <c r="T16" s="130" t="n"/>
      <c r="U16" s="64">
        <f>T16*$C16</f>
        <v/>
      </c>
      <c r="V16" s="130" t="n"/>
      <c r="W16" s="38">
        <f>V16*$C16</f>
        <v/>
      </c>
      <c r="X16" s="130" t="n"/>
      <c r="Y16" s="38">
        <f>X16*$C16</f>
        <v/>
      </c>
      <c r="Z16" s="130" t="n"/>
      <c r="AA16" s="38">
        <f>Z16*$C16</f>
        <v/>
      </c>
      <c r="AB16" s="130" t="n"/>
      <c r="AC16" s="38">
        <f>AB16*$C16</f>
        <v/>
      </c>
      <c r="AD16" s="130" t="n"/>
      <c r="AE16" s="38">
        <f>AD16*$C16</f>
        <v/>
      </c>
      <c r="AF16" s="130" t="n"/>
      <c r="AG16" s="38">
        <f>AF16*$C16</f>
        <v/>
      </c>
      <c r="AH16" s="130" t="n"/>
      <c r="AI16" s="38">
        <f>AH16*$C16</f>
        <v/>
      </c>
      <c r="AJ16" s="130" t="n"/>
      <c r="AK16" s="38">
        <f>AJ16*$C16</f>
        <v/>
      </c>
      <c r="AL16" s="130" t="n"/>
      <c r="AM16" s="38">
        <f>AL16*$C16</f>
        <v/>
      </c>
      <c r="AN16" s="130" t="n"/>
      <c r="AO16" s="38">
        <f>AN16*$C16</f>
        <v/>
      </c>
      <c r="AP16" s="130" t="n"/>
      <c r="AQ16" s="38">
        <f>AP16*$C16</f>
        <v/>
      </c>
      <c r="AR16" s="130" t="n"/>
      <c r="AS16" s="38">
        <f>AR16*$C16</f>
        <v/>
      </c>
      <c r="AT16" s="130" t="n"/>
      <c r="AU16" s="38">
        <f>AT16*$C16</f>
        <v/>
      </c>
      <c r="AV16" s="130" t="n"/>
      <c r="AW16" s="38">
        <f>AV16*$C16</f>
        <v/>
      </c>
      <c r="AX16" s="130" t="n"/>
      <c r="AY16" s="38">
        <f>AX16*$C16</f>
        <v/>
      </c>
    </row>
    <row r="17">
      <c r="A17" s="56" t="inlineStr">
        <is>
          <t>SA01470PCL</t>
        </is>
      </c>
      <c r="B17" s="57" t="inlineStr">
        <is>
          <t>Case Setup: Pre-notice class list development search (round 5) (per piece)</t>
        </is>
      </c>
      <c r="C17" s="126" t="n"/>
      <c r="D17" s="127" t="n"/>
      <c r="E17" s="38">
        <f>ROUND(C17*D17,2)</f>
        <v/>
      </c>
      <c r="F17" s="60" t="n"/>
      <c r="G17" s="128">
        <f t="array" ref="G17">SUMPRODUCT(L17:EZ17,--(MOD(COLUMN(L17:EZ17),2)=0))</f>
        <v/>
      </c>
      <c r="H17" s="38">
        <f t="array" ref="H17">SUMPRODUCT(L17:EZ17,MOD(COLUMN(L17:EZ17),2))</f>
        <v/>
      </c>
      <c r="I17" s="129">
        <f>D17-G17</f>
        <v/>
      </c>
      <c r="J17" s="40">
        <f>ROUND(E17,2)-ROUND(H17,2)</f>
        <v/>
      </c>
      <c r="K17" s="116">
        <f>IF(J17=0,"",IF(J17&lt;0,"IMPORTANT:  Over budget - Needs review","Currently at or under budget"))</f>
        <v/>
      </c>
      <c r="L17" s="130" t="n"/>
      <c r="M17" s="40">
        <f>L17*$C17</f>
        <v/>
      </c>
      <c r="N17" s="130" t="n"/>
      <c r="O17" s="40">
        <f>N17*$C17</f>
        <v/>
      </c>
      <c r="P17" s="130" t="n"/>
      <c r="Q17" s="40">
        <f>P17*$C17</f>
        <v/>
      </c>
      <c r="R17" s="130" t="n"/>
      <c r="S17" s="40">
        <f>R17*$C17</f>
        <v/>
      </c>
      <c r="T17" s="130" t="n"/>
      <c r="U17" s="64">
        <f>T17*$C17</f>
        <v/>
      </c>
      <c r="V17" s="130" t="n"/>
      <c r="W17" s="38">
        <f>V17*$C17</f>
        <v/>
      </c>
      <c r="X17" s="130" t="n"/>
      <c r="Y17" s="38">
        <f>X17*$C17</f>
        <v/>
      </c>
      <c r="Z17" s="130" t="n"/>
      <c r="AA17" s="38">
        <f>Z17*$C17</f>
        <v/>
      </c>
      <c r="AB17" s="130" t="n"/>
      <c r="AC17" s="38">
        <f>AB17*$C17</f>
        <v/>
      </c>
      <c r="AD17" s="130" t="n"/>
      <c r="AE17" s="38">
        <f>AD17*$C17</f>
        <v/>
      </c>
      <c r="AF17" s="130" t="n"/>
      <c r="AG17" s="38">
        <f>AF17*$C17</f>
        <v/>
      </c>
      <c r="AH17" s="130" t="n"/>
      <c r="AI17" s="38">
        <f>AH17*$C17</f>
        <v/>
      </c>
      <c r="AJ17" s="130" t="n"/>
      <c r="AK17" s="38">
        <f>AJ17*$C17</f>
        <v/>
      </c>
      <c r="AL17" s="130" t="n"/>
      <c r="AM17" s="38">
        <f>AL17*$C17</f>
        <v/>
      </c>
      <c r="AN17" s="130" t="n"/>
      <c r="AO17" s="38">
        <f>AN17*$C17</f>
        <v/>
      </c>
      <c r="AP17" s="130" t="n"/>
      <c r="AQ17" s="38">
        <f>AP17*$C17</f>
        <v/>
      </c>
      <c r="AR17" s="130" t="n"/>
      <c r="AS17" s="38">
        <f>AR17*$C17</f>
        <v/>
      </c>
      <c r="AT17" s="130" t="n"/>
      <c r="AU17" s="38">
        <f>AT17*$C17</f>
        <v/>
      </c>
      <c r="AV17" s="130" t="n"/>
      <c r="AW17" s="38">
        <f>AV17*$C17</f>
        <v/>
      </c>
      <c r="AX17" s="130" t="n"/>
      <c r="AY17" s="38">
        <f>AX17*$C17</f>
        <v/>
      </c>
    </row>
    <row r="18">
      <c r="A18" s="56" t="inlineStr">
        <is>
          <t>SA01475PCL</t>
        </is>
      </c>
      <c r="B18" s="57" t="inlineStr">
        <is>
          <t>Case Setup: Pre-notice class list development search (round 6) (per piece)</t>
        </is>
      </c>
      <c r="C18" s="126" t="n"/>
      <c r="D18" s="127" t="n"/>
      <c r="E18" s="38">
        <f>ROUND(C18*D18,2)</f>
        <v/>
      </c>
      <c r="F18" s="60" t="n"/>
      <c r="G18" s="128">
        <f t="array" ref="G18">SUMPRODUCT(L18:EZ18,--(MOD(COLUMN(L18:EZ18),2)=0))</f>
        <v/>
      </c>
      <c r="H18" s="38">
        <f t="array" ref="H18">SUMPRODUCT(L18:EZ18,MOD(COLUMN(L18:EZ18),2))</f>
        <v/>
      </c>
      <c r="I18" s="129">
        <f>D18-G18</f>
        <v/>
      </c>
      <c r="J18" s="40">
        <f>ROUND(E18,2)-ROUND(H18,2)</f>
        <v/>
      </c>
      <c r="K18" s="116">
        <f>IF(J18=0,"",IF(J18&lt;0,"IMPORTANT:  Over budget - Needs review","Currently at or under budget"))</f>
        <v/>
      </c>
      <c r="L18" s="130" t="n"/>
      <c r="M18" s="40">
        <f>L18*$C18</f>
        <v/>
      </c>
      <c r="N18" s="130" t="n"/>
      <c r="O18" s="40">
        <f>N18*$C18</f>
        <v/>
      </c>
      <c r="P18" s="130" t="n"/>
      <c r="Q18" s="40">
        <f>P18*$C18</f>
        <v/>
      </c>
      <c r="R18" s="130" t="n"/>
      <c r="S18" s="40">
        <f>R18*$C18</f>
        <v/>
      </c>
      <c r="T18" s="130" t="n"/>
      <c r="U18" s="64">
        <f>T18*$C18</f>
        <v/>
      </c>
      <c r="V18" s="130" t="n"/>
      <c r="W18" s="38">
        <f>V18*$C18</f>
        <v/>
      </c>
      <c r="X18" s="130" t="n"/>
      <c r="Y18" s="38">
        <f>X18*$C18</f>
        <v/>
      </c>
      <c r="Z18" s="130" t="n"/>
      <c r="AA18" s="38">
        <f>Z18*$C18</f>
        <v/>
      </c>
      <c r="AB18" s="130" t="n"/>
      <c r="AC18" s="38">
        <f>AB18*$C18</f>
        <v/>
      </c>
      <c r="AD18" s="130" t="n"/>
      <c r="AE18" s="38">
        <f>AD18*$C18</f>
        <v/>
      </c>
      <c r="AF18" s="130" t="n"/>
      <c r="AG18" s="38">
        <f>AF18*$C18</f>
        <v/>
      </c>
      <c r="AH18" s="130" t="n"/>
      <c r="AI18" s="38">
        <f>AH18*$C18</f>
        <v/>
      </c>
      <c r="AJ18" s="130" t="n"/>
      <c r="AK18" s="38">
        <f>AJ18*$C18</f>
        <v/>
      </c>
      <c r="AL18" s="130" t="n"/>
      <c r="AM18" s="38">
        <f>AL18*$C18</f>
        <v/>
      </c>
      <c r="AN18" s="130" t="n"/>
      <c r="AO18" s="38">
        <f>AN18*$C18</f>
        <v/>
      </c>
      <c r="AP18" s="130" t="n"/>
      <c r="AQ18" s="38">
        <f>AP18*$C18</f>
        <v/>
      </c>
      <c r="AR18" s="130" t="n"/>
      <c r="AS18" s="38">
        <f>AR18*$C18</f>
        <v/>
      </c>
      <c r="AT18" s="130" t="n"/>
      <c r="AU18" s="38">
        <f>AT18*$C18</f>
        <v/>
      </c>
      <c r="AV18" s="130" t="n"/>
      <c r="AW18" s="38">
        <f>AV18*$C18</f>
        <v/>
      </c>
      <c r="AX18" s="130" t="n"/>
      <c r="AY18" s="38">
        <f>AX18*$C18</f>
        <v/>
      </c>
    </row>
    <row r="19">
      <c r="A19" s="56" t="inlineStr">
        <is>
          <t>SA01500CLR</t>
        </is>
      </c>
      <c r="B19" s="57" t="inlineStr">
        <is>
          <t>Case Setup: Develop class list and import (per record)</t>
        </is>
      </c>
      <c r="C19" s="126" t="n"/>
      <c r="D19" s="127" t="n"/>
      <c r="E19" s="38">
        <f>ROUND(C19*D19,2)</f>
        <v/>
      </c>
      <c r="F19" s="60" t="n"/>
      <c r="G19" s="128">
        <f t="array" ref="G19">SUMPRODUCT(L19:EZ19,--(MOD(COLUMN(L19:EZ19),2)=0))</f>
        <v/>
      </c>
      <c r="H19" s="38">
        <f t="array" ref="H19">SUMPRODUCT(L19:EZ19,MOD(COLUMN(L19:EZ19),2))</f>
        <v/>
      </c>
      <c r="I19" s="129">
        <f>D19-G19</f>
        <v/>
      </c>
      <c r="J19" s="40">
        <f>ROUND(E19,2)-ROUND(H19,2)</f>
        <v/>
      </c>
      <c r="K19" s="116">
        <f>IF(J19=0,"",IF(J19&lt;0,"IMPORTANT:  Over budget - Needs review","Currently at or under budget"))</f>
        <v/>
      </c>
      <c r="L19" s="130" t="n"/>
      <c r="M19" s="40">
        <f>L19*$C19</f>
        <v/>
      </c>
      <c r="N19" s="130" t="n"/>
      <c r="O19" s="40">
        <f>N19*$C19</f>
        <v/>
      </c>
      <c r="P19" s="130" t="n"/>
      <c r="Q19" s="40">
        <f>P19*$C19</f>
        <v/>
      </c>
      <c r="R19" s="130" t="n"/>
      <c r="S19" s="40">
        <f>R19*$C19</f>
        <v/>
      </c>
      <c r="T19" s="130" t="n"/>
      <c r="U19" s="64">
        <f>T19*$C19</f>
        <v/>
      </c>
      <c r="V19" s="130" t="n"/>
      <c r="W19" s="38">
        <f>V19*$C19</f>
        <v/>
      </c>
      <c r="X19" s="130" t="n"/>
      <c r="Y19" s="38">
        <f>X19*$C19</f>
        <v/>
      </c>
      <c r="Z19" s="130" t="n"/>
      <c r="AA19" s="38">
        <f>Z19*$C19</f>
        <v/>
      </c>
      <c r="AB19" s="130" t="n"/>
      <c r="AC19" s="38">
        <f>AB19*$C19</f>
        <v/>
      </c>
      <c r="AD19" s="130" t="n"/>
      <c r="AE19" s="38">
        <f>AD19*$C19</f>
        <v/>
      </c>
      <c r="AF19" s="130" t="n"/>
      <c r="AG19" s="38">
        <f>AF19*$C19</f>
        <v/>
      </c>
      <c r="AH19" s="130" t="n"/>
      <c r="AI19" s="38">
        <f>AH19*$C19</f>
        <v/>
      </c>
      <c r="AJ19" s="130" t="n"/>
      <c r="AK19" s="38">
        <f>AJ19*$C19</f>
        <v/>
      </c>
      <c r="AL19" s="130" t="n"/>
      <c r="AM19" s="38">
        <f>AL19*$C19</f>
        <v/>
      </c>
      <c r="AN19" s="130" t="n"/>
      <c r="AO19" s="38">
        <f>AN19*$C19</f>
        <v/>
      </c>
      <c r="AP19" s="130" t="n"/>
      <c r="AQ19" s="38">
        <f>AP19*$C19</f>
        <v/>
      </c>
      <c r="AR19" s="130" t="n"/>
      <c r="AS19" s="38">
        <f>AR19*$C19</f>
        <v/>
      </c>
      <c r="AT19" s="130" t="n"/>
      <c r="AU19" s="38">
        <f>AT19*$C19</f>
        <v/>
      </c>
      <c r="AV19" s="130" t="n"/>
      <c r="AW19" s="38">
        <f>AV19*$C19</f>
        <v/>
      </c>
      <c r="AX19" s="130" t="n"/>
      <c r="AY19" s="38">
        <f>AX19*$C19</f>
        <v/>
      </c>
    </row>
    <row r="20">
      <c r="A20" s="56" t="inlineStr">
        <is>
          <t>SA01500CLO</t>
        </is>
      </c>
      <c r="B20" s="57" t="inlineStr">
        <is>
          <t>Case Setup: Develop class list and import (one time fee)</t>
        </is>
      </c>
      <c r="C20" s="126" t="n">
        <v>2000</v>
      </c>
      <c r="D20" s="127" t="n">
        <v>1</v>
      </c>
      <c r="E20" s="38">
        <f>ROUND(C20*D20,2)</f>
        <v/>
      </c>
      <c r="F20" s="60" t="n"/>
      <c r="G20" s="128">
        <f t="array" ref="G20">SUMPRODUCT(L20:EZ20,--(MOD(COLUMN(L20:EZ20),2)=0))</f>
        <v/>
      </c>
      <c r="H20" s="38">
        <f t="array" ref="H20">SUMPRODUCT(L20:EZ20,MOD(COLUMN(L20:EZ20),2))</f>
        <v/>
      </c>
      <c r="I20" s="129">
        <f>D20-G20</f>
        <v/>
      </c>
      <c r="J20" s="40">
        <f>ROUND(E20,2)-ROUND(H20,2)</f>
        <v/>
      </c>
      <c r="K20" s="116">
        <f>IF(J20=0,"",IF(J20&lt;0,"IMPORTANT:  Over budget - Needs review","Currently at or under budget"))</f>
        <v/>
      </c>
      <c r="L20" s="130" t="n"/>
      <c r="M20" s="40">
        <f>L20*$C20</f>
        <v/>
      </c>
      <c r="N20" s="130" t="n"/>
      <c r="O20" s="40">
        <f>N20*$C20</f>
        <v/>
      </c>
      <c r="P20" s="130" t="n"/>
      <c r="Q20" s="40">
        <f>P20*$C20</f>
        <v/>
      </c>
      <c r="R20" s="130" t="n"/>
      <c r="S20" s="40">
        <f>R20*$C20</f>
        <v/>
      </c>
      <c r="T20" s="130" t="n"/>
      <c r="U20" s="64">
        <f>T20*$C20</f>
        <v/>
      </c>
      <c r="V20" s="130" t="n"/>
      <c r="W20" s="38">
        <f>V20*$C20</f>
        <v/>
      </c>
      <c r="X20" s="130" t="n"/>
      <c r="Y20" s="38">
        <f>X20*$C20</f>
        <v/>
      </c>
      <c r="Z20" s="130" t="n"/>
      <c r="AA20" s="38">
        <f>Z20*$C20</f>
        <v/>
      </c>
      <c r="AB20" s="130" t="n"/>
      <c r="AC20" s="38">
        <f>AB20*$C20</f>
        <v/>
      </c>
      <c r="AD20" s="130" t="n"/>
      <c r="AE20" s="38">
        <f>AD20*$C20</f>
        <v/>
      </c>
      <c r="AF20" s="130" t="n"/>
      <c r="AG20" s="38">
        <f>AF20*$C20</f>
        <v/>
      </c>
      <c r="AH20" s="130" t="n"/>
      <c r="AI20" s="38">
        <f>AH20*$C20</f>
        <v/>
      </c>
      <c r="AJ20" s="130" t="n"/>
      <c r="AK20" s="38">
        <f>AJ20*$C20</f>
        <v/>
      </c>
      <c r="AL20" s="130" t="n"/>
      <c r="AM20" s="38">
        <f>AL20*$C20</f>
        <v/>
      </c>
      <c r="AN20" s="130" t="n"/>
      <c r="AO20" s="38">
        <f>AN20*$C20</f>
        <v/>
      </c>
      <c r="AP20" s="130" t="n"/>
      <c r="AQ20" s="38">
        <f>AP20*$C20</f>
        <v/>
      </c>
      <c r="AR20" s="130" t="n"/>
      <c r="AS20" s="38">
        <f>AR20*$C20</f>
        <v/>
      </c>
      <c r="AT20" s="130" t="n"/>
      <c r="AU20" s="38">
        <f>AT20*$C20</f>
        <v/>
      </c>
      <c r="AV20" s="130" t="n"/>
      <c r="AW20" s="38">
        <f>AV20*$C20</f>
        <v/>
      </c>
      <c r="AX20" s="130" t="n"/>
      <c r="AY20" s="38">
        <f>AX20*$C20</f>
        <v/>
      </c>
    </row>
    <row r="21">
      <c r="A21" s="56" t="inlineStr">
        <is>
          <t>SA02050SFO</t>
        </is>
      </c>
      <c r="B21" s="57" t="inlineStr">
        <is>
          <t>Notification/Correspondence Fees: Submit file for NCOA (one time fee)</t>
        </is>
      </c>
      <c r="C21" s="126" t="n">
        <v>0.005</v>
      </c>
      <c r="D21" s="127" t="n">
        <v>121188</v>
      </c>
      <c r="E21" s="38">
        <f>ROUND(C21*D21,2)</f>
        <v/>
      </c>
      <c r="F21" s="60" t="n"/>
      <c r="G21" s="128">
        <f t="array" ref="G21">SUMPRODUCT(L21:EZ21,--(MOD(COLUMN(L21:EZ21),2)=0))</f>
        <v/>
      </c>
      <c r="H21" s="38">
        <f t="array" ref="H21">SUMPRODUCT(L21:EZ21,MOD(COLUMN(L21:EZ21),2))</f>
        <v/>
      </c>
      <c r="I21" s="129">
        <f>D21-G21</f>
        <v/>
      </c>
      <c r="J21" s="40">
        <f>ROUND(E21,2)-ROUND(H21,2)</f>
        <v/>
      </c>
      <c r="K21" s="116">
        <f>IF(J21=0,"",IF(J21&lt;0,"IMPORTANT:  Over budget - Needs review","Currently at or under budget"))</f>
        <v/>
      </c>
      <c r="L21" s="130" t="n"/>
      <c r="M21" s="40">
        <f>L21*$C21</f>
        <v/>
      </c>
      <c r="N21" s="130" t="n"/>
      <c r="O21" s="40">
        <f>N21*$C21</f>
        <v/>
      </c>
      <c r="P21" s="130" t="n"/>
      <c r="Q21" s="40">
        <f>P21*$C21</f>
        <v/>
      </c>
      <c r="R21" s="130" t="n"/>
      <c r="S21" s="40">
        <f>R21*$C21</f>
        <v/>
      </c>
      <c r="T21" s="130" t="n"/>
      <c r="U21" s="64">
        <f>T21*$C21</f>
        <v/>
      </c>
      <c r="V21" s="130" t="n"/>
      <c r="W21" s="38">
        <f>V21*$C21</f>
        <v/>
      </c>
      <c r="X21" s="130" t="n"/>
      <c r="Y21" s="38">
        <f>X21*$C21</f>
        <v/>
      </c>
      <c r="Z21" s="130" t="n"/>
      <c r="AA21" s="38">
        <f>Z21*$C21</f>
        <v/>
      </c>
      <c r="AB21" s="130" t="n"/>
      <c r="AC21" s="38">
        <f>AB21*$C21</f>
        <v/>
      </c>
      <c r="AD21" s="130" t="n"/>
      <c r="AE21" s="38">
        <f>AD21*$C21</f>
        <v/>
      </c>
      <c r="AF21" s="130" t="n"/>
      <c r="AG21" s="38">
        <f>AF21*$C21</f>
        <v/>
      </c>
      <c r="AH21" s="130" t="n"/>
      <c r="AI21" s="38">
        <f>AH21*$C21</f>
        <v/>
      </c>
      <c r="AJ21" s="130" t="n"/>
      <c r="AK21" s="38">
        <f>AJ21*$C21</f>
        <v/>
      </c>
      <c r="AL21" s="130" t="n"/>
      <c r="AM21" s="38">
        <f>AL21*$C21</f>
        <v/>
      </c>
      <c r="AN21" s="130" t="n"/>
      <c r="AO21" s="38">
        <f>AN21*$C21</f>
        <v/>
      </c>
      <c r="AP21" s="130" t="n"/>
      <c r="AQ21" s="38">
        <f>AP21*$C21</f>
        <v/>
      </c>
      <c r="AR21" s="130" t="n"/>
      <c r="AS21" s="38">
        <f>AR21*$C21</f>
        <v/>
      </c>
      <c r="AT21" s="130" t="n"/>
      <c r="AU21" s="38">
        <f>AT21*$C21</f>
        <v/>
      </c>
      <c r="AV21" s="130" t="n"/>
      <c r="AW21" s="38">
        <f>AV21*$C21</f>
        <v/>
      </c>
      <c r="AX21" s="130" t="n"/>
      <c r="AY21" s="38">
        <f>AX21*$C21</f>
        <v/>
      </c>
    </row>
    <row r="22">
      <c r="A22" s="56" t="inlineStr">
        <is>
          <t>SA02050SFR</t>
        </is>
      </c>
      <c r="B22" s="57" t="inlineStr">
        <is>
          <t>Notification/Correspondence Fees: Submit file for NCOA (per record)</t>
        </is>
      </c>
      <c r="C22" s="126" t="n"/>
      <c r="D22" s="127" t="n"/>
      <c r="E22" s="38">
        <f>ROUND(C22*D22,2)</f>
        <v/>
      </c>
      <c r="F22" s="60" t="n"/>
      <c r="G22" s="128">
        <f t="array" ref="G22">SUMPRODUCT(L22:EZ22,--(MOD(COLUMN(L22:EZ22),2)=0))</f>
        <v/>
      </c>
      <c r="H22" s="38">
        <f t="array" ref="H22">SUMPRODUCT(L22:EZ22,MOD(COLUMN(L22:EZ22),2))</f>
        <v/>
      </c>
      <c r="I22" s="129">
        <f>D22-G22</f>
        <v/>
      </c>
      <c r="J22" s="40">
        <f>ROUND(E22,2)-ROUND(H22,2)</f>
        <v/>
      </c>
      <c r="K22" s="116">
        <f>IF(J22=0,"",IF(J22&lt;0,"IMPORTANT:  Over budget - Needs review","Currently at or under budget"))</f>
        <v/>
      </c>
      <c r="L22" s="130" t="n"/>
      <c r="M22" s="40">
        <f>L22*$C22</f>
        <v/>
      </c>
      <c r="N22" s="130" t="n"/>
      <c r="O22" s="40">
        <f>N22*$C22</f>
        <v/>
      </c>
      <c r="P22" s="130" t="n"/>
      <c r="Q22" s="40">
        <f>P22*$C22</f>
        <v/>
      </c>
      <c r="R22" s="130" t="n"/>
      <c r="S22" s="40">
        <f>R22*$C22</f>
        <v/>
      </c>
      <c r="T22" s="130" t="n"/>
      <c r="U22" s="64">
        <f>T22*$C22</f>
        <v/>
      </c>
      <c r="V22" s="130" t="n"/>
      <c r="W22" s="38">
        <f>V22*$C22</f>
        <v/>
      </c>
      <c r="X22" s="130" t="n"/>
      <c r="Y22" s="38">
        <f>X22*$C22</f>
        <v/>
      </c>
      <c r="Z22" s="130" t="n"/>
      <c r="AA22" s="38">
        <f>Z22*$C22</f>
        <v/>
      </c>
      <c r="AB22" s="130" t="n"/>
      <c r="AC22" s="38">
        <f>AB22*$C22</f>
        <v/>
      </c>
      <c r="AD22" s="130" t="n"/>
      <c r="AE22" s="38">
        <f>AD22*$C22</f>
        <v/>
      </c>
      <c r="AF22" s="130" t="n"/>
      <c r="AG22" s="38">
        <f>AF22*$C22</f>
        <v/>
      </c>
      <c r="AH22" s="130" t="n"/>
      <c r="AI22" s="38">
        <f>AH22*$C22</f>
        <v/>
      </c>
      <c r="AJ22" s="130" t="n"/>
      <c r="AK22" s="38">
        <f>AJ22*$C22</f>
        <v/>
      </c>
      <c r="AL22" s="130" t="n"/>
      <c r="AM22" s="38">
        <f>AL22*$C22</f>
        <v/>
      </c>
      <c r="AN22" s="130" t="n"/>
      <c r="AO22" s="38">
        <f>AN22*$C22</f>
        <v/>
      </c>
      <c r="AP22" s="130" t="n"/>
      <c r="AQ22" s="38">
        <f>AP22*$C22</f>
        <v/>
      </c>
      <c r="AR22" s="130" t="n"/>
      <c r="AS22" s="38">
        <f>AR22*$C22</f>
        <v/>
      </c>
      <c r="AT22" s="130" t="n"/>
      <c r="AU22" s="38">
        <f>AT22*$C22</f>
        <v/>
      </c>
      <c r="AV22" s="130" t="n"/>
      <c r="AW22" s="38">
        <f>AV22*$C22</f>
        <v/>
      </c>
      <c r="AX22" s="130" t="n"/>
      <c r="AY22" s="38">
        <f>AX22*$C22</f>
        <v/>
      </c>
    </row>
    <row r="23">
      <c r="A23" s="56" t="inlineStr">
        <is>
          <t>SA02070DTO</t>
        </is>
      </c>
      <c r="B23" s="57" t="inlineStr">
        <is>
          <t>Notification/Correspondence Fees: Document Translation (one time)</t>
        </is>
      </c>
      <c r="C23" s="126" t="n"/>
      <c r="D23" s="127" t="n"/>
      <c r="E23" s="38">
        <f>ROUND(C23*D23,2)</f>
        <v/>
      </c>
      <c r="F23" s="60" t="n"/>
      <c r="G23" s="128">
        <f t="array" ref="G23">SUMPRODUCT(L23:EZ23,--(MOD(COLUMN(L23:EZ23),2)=0))</f>
        <v/>
      </c>
      <c r="H23" s="38">
        <f t="array" ref="H23">SUMPRODUCT(L23:EZ23,MOD(COLUMN(L23:EZ23),2))</f>
        <v/>
      </c>
      <c r="I23" s="129">
        <f>D23-G23</f>
        <v/>
      </c>
      <c r="J23" s="40">
        <f>ROUND(E23,2)-ROUND(H23,2)</f>
        <v/>
      </c>
      <c r="K23" s="116">
        <f>IF(J23=0,"",IF(J23&lt;0,"IMPORTANT:  Over budget - Needs review","Currently at or under budget"))</f>
        <v/>
      </c>
      <c r="L23" s="130" t="n"/>
      <c r="M23" s="40">
        <f>L23*$C23</f>
        <v/>
      </c>
      <c r="N23" s="130" t="n"/>
      <c r="O23" s="40">
        <f>N23*$C23</f>
        <v/>
      </c>
      <c r="P23" s="130" t="n"/>
      <c r="Q23" s="40">
        <f>P23*$C23</f>
        <v/>
      </c>
      <c r="R23" s="130" t="n"/>
      <c r="S23" s="40">
        <f>R23*$C23</f>
        <v/>
      </c>
      <c r="T23" s="130" t="n"/>
      <c r="U23" s="64">
        <f>T23*$C23</f>
        <v/>
      </c>
      <c r="V23" s="130" t="n"/>
      <c r="W23" s="38">
        <f>V23*$C23</f>
        <v/>
      </c>
      <c r="X23" s="130" t="n"/>
      <c r="Y23" s="38">
        <f>X23*$C23</f>
        <v/>
      </c>
      <c r="Z23" s="130" t="n"/>
      <c r="AA23" s="38">
        <f>Z23*$C23</f>
        <v/>
      </c>
      <c r="AB23" s="130" t="n"/>
      <c r="AC23" s="38">
        <f>AB23*$C23</f>
        <v/>
      </c>
      <c r="AD23" s="130" t="n"/>
      <c r="AE23" s="38">
        <f>AD23*$C23</f>
        <v/>
      </c>
      <c r="AF23" s="130" t="n"/>
      <c r="AG23" s="38">
        <f>AF23*$C23</f>
        <v/>
      </c>
      <c r="AH23" s="130" t="n"/>
      <c r="AI23" s="38">
        <f>AH23*$C23</f>
        <v/>
      </c>
      <c r="AJ23" s="130" t="n"/>
      <c r="AK23" s="38">
        <f>AJ23*$C23</f>
        <v/>
      </c>
      <c r="AL23" s="130" t="n"/>
      <c r="AM23" s="38">
        <f>AL23*$C23</f>
        <v/>
      </c>
      <c r="AN23" s="130" t="n"/>
      <c r="AO23" s="38">
        <f>AN23*$C23</f>
        <v/>
      </c>
      <c r="AP23" s="130" t="n"/>
      <c r="AQ23" s="38">
        <f>AP23*$C23</f>
        <v/>
      </c>
      <c r="AR23" s="130" t="n"/>
      <c r="AS23" s="38">
        <f>AR23*$C23</f>
        <v/>
      </c>
      <c r="AT23" s="130" t="n"/>
      <c r="AU23" s="38">
        <f>AT23*$C23</f>
        <v/>
      </c>
      <c r="AV23" s="130" t="n"/>
      <c r="AW23" s="38">
        <f>AV23*$C23</f>
        <v/>
      </c>
      <c r="AX23" s="130" t="n"/>
      <c r="AY23" s="38">
        <f>AX23*$C23</f>
        <v/>
      </c>
    </row>
    <row r="24">
      <c r="A24" s="56" t="inlineStr">
        <is>
          <t>SA02090PNN</t>
        </is>
      </c>
      <c r="B24" s="57" t="inlineStr">
        <is>
          <t>Notification/Correspondence Fees: Print/address notice packet (per notice)</t>
        </is>
      </c>
      <c r="C24" s="126" t="n">
        <v>0.05</v>
      </c>
      <c r="D24" s="127" t="n">
        <v>121188</v>
      </c>
      <c r="E24" s="38">
        <f>ROUND(C24*D24,2)</f>
        <v/>
      </c>
      <c r="F24" s="60" t="n"/>
      <c r="G24" s="128">
        <f t="array" ref="G24">SUMPRODUCT(L24:EZ24,--(MOD(COLUMN(L24:EZ24),2)=0))</f>
        <v/>
      </c>
      <c r="H24" s="38">
        <f t="array" ref="H24">SUMPRODUCT(L24:EZ24,MOD(COLUMN(L24:EZ24),2))</f>
        <v/>
      </c>
      <c r="I24" s="129">
        <f>D24-G24</f>
        <v/>
      </c>
      <c r="J24" s="40">
        <f>ROUND(E24,2)-ROUND(H24,2)</f>
        <v/>
      </c>
      <c r="K24" s="116">
        <f>IF(J24=0,"",IF(J24&lt;0,"IMPORTANT:  Over budget - Needs review","Currently at or under budget"))</f>
        <v/>
      </c>
      <c r="L24" s="130" t="n"/>
      <c r="M24" s="40">
        <f>L24*$C24</f>
        <v/>
      </c>
      <c r="N24" s="130" t="n"/>
      <c r="O24" s="40">
        <f>N24*$C24</f>
        <v/>
      </c>
      <c r="P24" s="130" t="n"/>
      <c r="Q24" s="40">
        <f>P24*$C24</f>
        <v/>
      </c>
      <c r="R24" s="130" t="n"/>
      <c r="S24" s="40">
        <f>R24*$C24</f>
        <v/>
      </c>
      <c r="T24" s="130" t="n"/>
      <c r="U24" s="64">
        <f>T24*$C24</f>
        <v/>
      </c>
      <c r="V24" s="130" t="n"/>
      <c r="W24" s="38">
        <f>V24*$C24</f>
        <v/>
      </c>
      <c r="X24" s="130" t="n"/>
      <c r="Y24" s="38">
        <f>X24*$C24</f>
        <v/>
      </c>
      <c r="Z24" s="130" t="n"/>
      <c r="AA24" s="38">
        <f>Z24*$C24</f>
        <v/>
      </c>
      <c r="AB24" s="130" t="n"/>
      <c r="AC24" s="38">
        <f>AB24*$C24</f>
        <v/>
      </c>
      <c r="AD24" s="130" t="n"/>
      <c r="AE24" s="38">
        <f>AD24*$C24</f>
        <v/>
      </c>
      <c r="AF24" s="130" t="n"/>
      <c r="AG24" s="38">
        <f>AF24*$C24</f>
        <v/>
      </c>
      <c r="AH24" s="130" t="n"/>
      <c r="AI24" s="38">
        <f>AH24*$C24</f>
        <v/>
      </c>
      <c r="AJ24" s="130" t="n"/>
      <c r="AK24" s="38">
        <f>AJ24*$C24</f>
        <v/>
      </c>
      <c r="AL24" s="130" t="n"/>
      <c r="AM24" s="38">
        <f>AL24*$C24</f>
        <v/>
      </c>
      <c r="AN24" s="130" t="n"/>
      <c r="AO24" s="38">
        <f>AN24*$C24</f>
        <v/>
      </c>
      <c r="AP24" s="130" t="n"/>
      <c r="AQ24" s="38">
        <f>AP24*$C24</f>
        <v/>
      </c>
      <c r="AR24" s="130" t="n"/>
      <c r="AS24" s="38">
        <f>AR24*$C24</f>
        <v/>
      </c>
      <c r="AT24" s="130" t="n"/>
      <c r="AU24" s="38">
        <f>AT24*$C24</f>
        <v/>
      </c>
      <c r="AV24" s="130" t="n"/>
      <c r="AW24" s="38">
        <f>AV24*$C24</f>
        <v/>
      </c>
      <c r="AX24" s="130" t="n"/>
      <c r="AY24" s="38">
        <f>AX24*$C24</f>
        <v/>
      </c>
    </row>
    <row r="25">
      <c r="A25" s="56" t="inlineStr">
        <is>
          <t>SA02110PAN</t>
        </is>
      </c>
      <c r="B25" s="57" t="inlineStr">
        <is>
          <t>Notification/Correspondence Fees: Print/address - additional notice type  (per notice)</t>
        </is>
      </c>
      <c r="C25" s="126" t="n"/>
      <c r="D25" s="127" t="n"/>
      <c r="E25" s="38">
        <f>ROUND(C25*D25,2)</f>
        <v/>
      </c>
      <c r="F25" s="60" t="n"/>
      <c r="G25" s="128">
        <f t="array" ref="G25">SUMPRODUCT(L25:EZ25,--(MOD(COLUMN(L25:EZ25),2)=0))</f>
        <v/>
      </c>
      <c r="H25" s="38">
        <f t="array" ref="H25">SUMPRODUCT(L25:EZ25,MOD(COLUMN(L25:EZ25),2))</f>
        <v/>
      </c>
      <c r="I25" s="129">
        <f>D25-G25</f>
        <v/>
      </c>
      <c r="J25" s="40">
        <f>ROUND(E25,2)-ROUND(H25,2)</f>
        <v/>
      </c>
      <c r="K25" s="116">
        <f>IF(J25=0,"",IF(J25&lt;0,"IMPORTANT:  Over budget - Needs review","Currently at or under budget"))</f>
        <v/>
      </c>
      <c r="L25" s="130" t="n"/>
      <c r="M25" s="40">
        <f>L25*$C25</f>
        <v/>
      </c>
      <c r="N25" s="130" t="n"/>
      <c r="O25" s="40">
        <f>N25*$C25</f>
        <v/>
      </c>
      <c r="P25" s="130" t="n"/>
      <c r="Q25" s="40">
        <f>P25*$C25</f>
        <v/>
      </c>
      <c r="R25" s="130" t="n"/>
      <c r="S25" s="40">
        <f>R25*$C25</f>
        <v/>
      </c>
      <c r="T25" s="130" t="n"/>
      <c r="U25" s="64">
        <f>T25*$C25</f>
        <v/>
      </c>
      <c r="V25" s="130" t="n"/>
      <c r="W25" s="38">
        <f>V25*$C25</f>
        <v/>
      </c>
      <c r="X25" s="130" t="n"/>
      <c r="Y25" s="38">
        <f>X25*$C25</f>
        <v/>
      </c>
      <c r="Z25" s="130" t="n"/>
      <c r="AA25" s="38">
        <f>Z25*$C25</f>
        <v/>
      </c>
      <c r="AB25" s="130" t="n"/>
      <c r="AC25" s="38">
        <f>AB25*$C25</f>
        <v/>
      </c>
      <c r="AD25" s="130" t="n"/>
      <c r="AE25" s="38">
        <f>AD25*$C25</f>
        <v/>
      </c>
      <c r="AF25" s="130" t="n"/>
      <c r="AG25" s="38">
        <f>AF25*$C25</f>
        <v/>
      </c>
      <c r="AH25" s="130" t="n"/>
      <c r="AI25" s="38">
        <f>AH25*$C25</f>
        <v/>
      </c>
      <c r="AJ25" s="130" t="n"/>
      <c r="AK25" s="38">
        <f>AJ25*$C25</f>
        <v/>
      </c>
      <c r="AL25" s="130" t="n"/>
      <c r="AM25" s="38">
        <f>AL25*$C25</f>
        <v/>
      </c>
      <c r="AN25" s="130" t="n"/>
      <c r="AO25" s="38">
        <f>AN25*$C25</f>
        <v/>
      </c>
      <c r="AP25" s="130" t="n"/>
      <c r="AQ25" s="38">
        <f>AP25*$C25</f>
        <v/>
      </c>
      <c r="AR25" s="130" t="n"/>
      <c r="AS25" s="38">
        <f>AR25*$C25</f>
        <v/>
      </c>
      <c r="AT25" s="130" t="n"/>
      <c r="AU25" s="38">
        <f>AT25*$C25</f>
        <v/>
      </c>
      <c r="AV25" s="130" t="n"/>
      <c r="AW25" s="38">
        <f>AV25*$C25</f>
        <v/>
      </c>
      <c r="AX25" s="130" t="n"/>
      <c r="AY25" s="38">
        <f>AX25*$C25</f>
        <v/>
      </c>
    </row>
    <row r="26">
      <c r="A26" s="56" t="inlineStr">
        <is>
          <t>SA02120PTN</t>
        </is>
      </c>
      <c r="B26" s="57" t="inlineStr">
        <is>
          <t>Notification/Correspondence Fees: Print/address - Third Notice Type  (per notice)</t>
        </is>
      </c>
      <c r="C26" s="126" t="n"/>
      <c r="D26" s="127" t="n"/>
      <c r="E26" s="38">
        <f>ROUND(C26*D26,2)</f>
        <v/>
      </c>
      <c r="F26" s="60" t="n"/>
      <c r="G26" s="128">
        <f t="array" ref="G26">SUMPRODUCT(L26:EZ26,--(MOD(COLUMN(L26:EZ26),2)=0))</f>
        <v/>
      </c>
      <c r="H26" s="38">
        <f t="array" ref="H26">SUMPRODUCT(L26:EZ26,MOD(COLUMN(L26:EZ26),2))</f>
        <v/>
      </c>
      <c r="I26" s="129">
        <f>D26-G26</f>
        <v/>
      </c>
      <c r="J26" s="40">
        <f>ROUND(E26,2)-ROUND(H26,2)</f>
        <v/>
      </c>
      <c r="K26" s="116">
        <f>IF(J26=0,"",IF(J26&lt;0,"IMPORTANT:  Over budget - Needs review","Currently at or under budget"))</f>
        <v/>
      </c>
      <c r="L26" s="130" t="n"/>
      <c r="M26" s="40">
        <f>L26*$C26</f>
        <v/>
      </c>
      <c r="N26" s="130" t="n"/>
      <c r="O26" s="40">
        <f>N26*$C26</f>
        <v/>
      </c>
      <c r="P26" s="130" t="n"/>
      <c r="Q26" s="40">
        <f>P26*$C26</f>
        <v/>
      </c>
      <c r="R26" s="130" t="n"/>
      <c r="S26" s="40">
        <f>R26*$C26</f>
        <v/>
      </c>
      <c r="T26" s="130" t="n"/>
      <c r="U26" s="64">
        <f>T26*$C26</f>
        <v/>
      </c>
      <c r="V26" s="130" t="n"/>
      <c r="W26" s="38">
        <f>V26*$C26</f>
        <v/>
      </c>
      <c r="X26" s="130" t="n"/>
      <c r="Y26" s="38">
        <f>X26*$C26</f>
        <v/>
      </c>
      <c r="Z26" s="130" t="n"/>
      <c r="AA26" s="38">
        <f>Z26*$C26</f>
        <v/>
      </c>
      <c r="AB26" s="130" t="n"/>
      <c r="AC26" s="38">
        <f>AB26*$C26</f>
        <v/>
      </c>
      <c r="AD26" s="130" t="n"/>
      <c r="AE26" s="38">
        <f>AD26*$C26</f>
        <v/>
      </c>
      <c r="AF26" s="130" t="n"/>
      <c r="AG26" s="38">
        <f>AF26*$C26</f>
        <v/>
      </c>
      <c r="AH26" s="130" t="n"/>
      <c r="AI26" s="38">
        <f>AH26*$C26</f>
        <v/>
      </c>
      <c r="AJ26" s="130" t="n"/>
      <c r="AK26" s="38">
        <f>AJ26*$C26</f>
        <v/>
      </c>
      <c r="AL26" s="130" t="n"/>
      <c r="AM26" s="38">
        <f>AL26*$C26</f>
        <v/>
      </c>
      <c r="AN26" s="130" t="n"/>
      <c r="AO26" s="38">
        <f>AN26*$C26</f>
        <v/>
      </c>
      <c r="AP26" s="130" t="n"/>
      <c r="AQ26" s="38">
        <f>AP26*$C26</f>
        <v/>
      </c>
      <c r="AR26" s="130" t="n"/>
      <c r="AS26" s="38">
        <f>AR26*$C26</f>
        <v/>
      </c>
      <c r="AT26" s="130" t="n"/>
      <c r="AU26" s="38">
        <f>AT26*$C26</f>
        <v/>
      </c>
      <c r="AV26" s="130" t="n"/>
      <c r="AW26" s="38">
        <f>AV26*$C26</f>
        <v/>
      </c>
      <c r="AX26" s="130" t="n"/>
      <c r="AY26" s="38">
        <f>AX26*$C26</f>
        <v/>
      </c>
    </row>
    <row r="27">
      <c r="A27" s="56" t="inlineStr">
        <is>
          <t>SA02125PNP</t>
        </is>
      </c>
      <c r="B27" s="57" t="inlineStr">
        <is>
          <t>Notification/Correspondence Fees: Print/address notice packet minimum (per mailing)</t>
        </is>
      </c>
      <c r="C27" s="126" t="n"/>
      <c r="D27" s="127" t="n"/>
      <c r="E27" s="38">
        <f>ROUND(C27*D27,2)</f>
        <v/>
      </c>
      <c r="F27" s="60" t="n"/>
      <c r="G27" s="128">
        <f t="array" ref="G27">SUMPRODUCT(L27:EZ27,--(MOD(COLUMN(L27:EZ27),2)=0))</f>
        <v/>
      </c>
      <c r="H27" s="38">
        <f t="array" ref="H27">SUMPRODUCT(L27:EZ27,MOD(COLUMN(L27:EZ27),2))</f>
        <v/>
      </c>
      <c r="I27" s="129">
        <f>D27-G27</f>
        <v/>
      </c>
      <c r="J27" s="40">
        <f>ROUND(E27,2)-ROUND(H27,2)</f>
        <v/>
      </c>
      <c r="K27" s="116">
        <f>IF(J27=0,"",IF(J27&lt;0,"IMPORTANT:  Over budget - Needs review","Currently at or under budget"))</f>
        <v/>
      </c>
      <c r="L27" s="130" t="n"/>
      <c r="M27" s="40">
        <f>L27*$C27</f>
        <v/>
      </c>
      <c r="N27" s="130" t="n"/>
      <c r="O27" s="40">
        <f>N27*$C27</f>
        <v/>
      </c>
      <c r="P27" s="130" t="n"/>
      <c r="Q27" s="40">
        <f>P27*$C27</f>
        <v/>
      </c>
      <c r="R27" s="130" t="n"/>
      <c r="S27" s="40">
        <f>R27*$C27</f>
        <v/>
      </c>
      <c r="T27" s="130" t="n"/>
      <c r="U27" s="64">
        <f>T27*$C27</f>
        <v/>
      </c>
      <c r="V27" s="130" t="n"/>
      <c r="W27" s="38">
        <f>V27*$C27</f>
        <v/>
      </c>
      <c r="X27" s="130" t="n"/>
      <c r="Y27" s="38">
        <f>X27*$C27</f>
        <v/>
      </c>
      <c r="Z27" s="130" t="n"/>
      <c r="AA27" s="38">
        <f>Z27*$C27</f>
        <v/>
      </c>
      <c r="AB27" s="130" t="n"/>
      <c r="AC27" s="38">
        <f>AB27*$C27</f>
        <v/>
      </c>
      <c r="AD27" s="130" t="n"/>
      <c r="AE27" s="38">
        <f>AD27*$C27</f>
        <v/>
      </c>
      <c r="AF27" s="130" t="n"/>
      <c r="AG27" s="38">
        <f>AF27*$C27</f>
        <v/>
      </c>
      <c r="AH27" s="130" t="n"/>
      <c r="AI27" s="38">
        <f>AH27*$C27</f>
        <v/>
      </c>
      <c r="AJ27" s="130" t="n"/>
      <c r="AK27" s="38">
        <f>AJ27*$C27</f>
        <v/>
      </c>
      <c r="AL27" s="130" t="n"/>
      <c r="AM27" s="38">
        <f>AL27*$C27</f>
        <v/>
      </c>
      <c r="AN27" s="130" t="n"/>
      <c r="AO27" s="38">
        <f>AN27*$C27</f>
        <v/>
      </c>
      <c r="AP27" s="130" t="n"/>
      <c r="AQ27" s="38">
        <f>AP27*$C27</f>
        <v/>
      </c>
      <c r="AR27" s="130" t="n"/>
      <c r="AS27" s="38">
        <f>AR27*$C27</f>
        <v/>
      </c>
      <c r="AT27" s="130" t="n"/>
      <c r="AU27" s="38">
        <f>AT27*$C27</f>
        <v/>
      </c>
      <c r="AV27" s="130" t="n"/>
      <c r="AW27" s="38">
        <f>AV27*$C27</f>
        <v/>
      </c>
      <c r="AX27" s="130" t="n"/>
      <c r="AY27" s="38">
        <f>AX27*$C27</f>
        <v/>
      </c>
    </row>
    <row r="28">
      <c r="A28" s="56" t="inlineStr">
        <is>
          <t>SA02130PCM</t>
        </is>
      </c>
      <c r="B28" s="57" t="inlineStr">
        <is>
          <t>Notification/Correspondence Fees: Prepare CAFA notice (per mailing)</t>
        </is>
      </c>
      <c r="C28" s="126" t="n">
        <v>2500</v>
      </c>
      <c r="D28" s="127" t="n">
        <v>1</v>
      </c>
      <c r="E28" s="38">
        <f>ROUND(C28*D28,2)</f>
        <v/>
      </c>
      <c r="F28" s="60" t="n"/>
      <c r="G28" s="128">
        <f t="array" ref="G28">SUMPRODUCT(L28:EZ28,--(MOD(COLUMN(L28:EZ28),2)=0))</f>
        <v/>
      </c>
      <c r="H28" s="38">
        <f t="array" ref="H28">SUMPRODUCT(L28:EZ28,MOD(COLUMN(L28:EZ28),2))</f>
        <v/>
      </c>
      <c r="I28" s="129">
        <f>D28-G28</f>
        <v/>
      </c>
      <c r="J28" s="40">
        <f>ROUND(E28,2)-ROUND(H28,2)</f>
        <v/>
      </c>
      <c r="K28" s="116">
        <f>IF(J28=0,"",IF(J28&lt;0,"IMPORTANT:  Over budget - Needs review","Currently at or under budget"))</f>
        <v/>
      </c>
      <c r="L28" s="130" t="n"/>
      <c r="M28" s="40">
        <f>L28*$C28</f>
        <v/>
      </c>
      <c r="N28" s="130" t="n"/>
      <c r="O28" s="40">
        <f>N28*$C28</f>
        <v/>
      </c>
      <c r="P28" s="130" t="n"/>
      <c r="Q28" s="40">
        <f>P28*$C28</f>
        <v/>
      </c>
      <c r="R28" s="130" t="n"/>
      <c r="S28" s="40">
        <f>R28*$C28</f>
        <v/>
      </c>
      <c r="T28" s="130" t="n"/>
      <c r="U28" s="64">
        <f>T28*$C28</f>
        <v/>
      </c>
      <c r="V28" s="130" t="n"/>
      <c r="W28" s="38">
        <f>V28*$C28</f>
        <v/>
      </c>
      <c r="X28" s="130" t="n"/>
      <c r="Y28" s="38">
        <f>X28*$C28</f>
        <v/>
      </c>
      <c r="Z28" s="130" t="n"/>
      <c r="AA28" s="38">
        <f>Z28*$C28</f>
        <v/>
      </c>
      <c r="AB28" s="130" t="n"/>
      <c r="AC28" s="38">
        <f>AB28*$C28</f>
        <v/>
      </c>
      <c r="AD28" s="130" t="n"/>
      <c r="AE28" s="38">
        <f>AD28*$C28</f>
        <v/>
      </c>
      <c r="AF28" s="130" t="n"/>
      <c r="AG28" s="38">
        <f>AF28*$C28</f>
        <v/>
      </c>
      <c r="AH28" s="130" t="n"/>
      <c r="AI28" s="38">
        <f>AH28*$C28</f>
        <v/>
      </c>
      <c r="AJ28" s="130" t="n"/>
      <c r="AK28" s="38">
        <f>AJ28*$C28</f>
        <v/>
      </c>
      <c r="AL28" s="130" t="n"/>
      <c r="AM28" s="38">
        <f>AL28*$C28</f>
        <v/>
      </c>
      <c r="AN28" s="130" t="n"/>
      <c r="AO28" s="38">
        <f>AN28*$C28</f>
        <v/>
      </c>
      <c r="AP28" s="130" t="n"/>
      <c r="AQ28" s="38">
        <f>AP28*$C28</f>
        <v/>
      </c>
      <c r="AR28" s="130" t="n"/>
      <c r="AS28" s="38">
        <f>AR28*$C28</f>
        <v/>
      </c>
      <c r="AT28" s="130" t="n"/>
      <c r="AU28" s="38">
        <f>AT28*$C28</f>
        <v/>
      </c>
      <c r="AV28" s="130" t="n"/>
      <c r="AW28" s="38">
        <f>AV28*$C28</f>
        <v/>
      </c>
      <c r="AX28" s="130" t="n"/>
      <c r="AY28" s="38">
        <f>AX28*$C28</f>
        <v/>
      </c>
    </row>
    <row r="29">
      <c r="A29" s="56" t="inlineStr">
        <is>
          <t>SA02170PRN</t>
        </is>
      </c>
      <c r="B29" s="57" t="inlineStr">
        <is>
          <t>Notification/Correspondence Fees: Process returned notices (per notice)</t>
        </is>
      </c>
      <c r="C29" s="126" t="n">
        <v>0.15</v>
      </c>
      <c r="D29" s="127" t="n">
        <v>9695</v>
      </c>
      <c r="E29" s="38">
        <f>ROUND(C29*D29,2)</f>
        <v/>
      </c>
      <c r="F29" s="60" t="n"/>
      <c r="G29" s="128">
        <f t="array" ref="G29">SUMPRODUCT(L29:EZ29,--(MOD(COLUMN(L29:EZ29),2)=0))</f>
        <v/>
      </c>
      <c r="H29" s="38">
        <f t="array" ref="H29">SUMPRODUCT(L29:EZ29,MOD(COLUMN(L29:EZ29),2))</f>
        <v/>
      </c>
      <c r="I29" s="129">
        <f>D29-G29</f>
        <v/>
      </c>
      <c r="J29" s="40">
        <f>ROUND(E29,2)-ROUND(H29,2)</f>
        <v/>
      </c>
      <c r="K29" s="116">
        <f>IF(J29=0,"",IF(J29&lt;0,"IMPORTANT:  Over budget - Needs review","Currently at or under budget"))</f>
        <v/>
      </c>
      <c r="L29" s="130" t="n"/>
      <c r="M29" s="40">
        <f>L29*$C29</f>
        <v/>
      </c>
      <c r="N29" s="130" t="n"/>
      <c r="O29" s="40">
        <f>N29*$C29</f>
        <v/>
      </c>
      <c r="P29" s="130" t="n"/>
      <c r="Q29" s="40">
        <f>P29*$C29</f>
        <v/>
      </c>
      <c r="R29" s="130" t="n"/>
      <c r="S29" s="40">
        <f>R29*$C29</f>
        <v/>
      </c>
      <c r="T29" s="130" t="n"/>
      <c r="U29" s="64">
        <f>T29*$C29</f>
        <v/>
      </c>
      <c r="V29" s="130" t="n"/>
      <c r="W29" s="38">
        <f>V29*$C29</f>
        <v/>
      </c>
      <c r="X29" s="130" t="n"/>
      <c r="Y29" s="38">
        <f>X29*$C29</f>
        <v/>
      </c>
      <c r="Z29" s="130" t="n"/>
      <c r="AA29" s="38">
        <f>Z29*$C29</f>
        <v/>
      </c>
      <c r="AB29" s="130" t="n"/>
      <c r="AC29" s="38">
        <f>AB29*$C29</f>
        <v/>
      </c>
      <c r="AD29" s="130" t="n"/>
      <c r="AE29" s="38">
        <f>AD29*$C29</f>
        <v/>
      </c>
      <c r="AF29" s="130" t="n"/>
      <c r="AG29" s="38">
        <f>AF29*$C29</f>
        <v/>
      </c>
      <c r="AH29" s="130" t="n"/>
      <c r="AI29" s="38">
        <f>AH29*$C29</f>
        <v/>
      </c>
      <c r="AJ29" s="130" t="n"/>
      <c r="AK29" s="38">
        <f>AJ29*$C29</f>
        <v/>
      </c>
      <c r="AL29" s="130" t="n"/>
      <c r="AM29" s="38">
        <f>AL29*$C29</f>
        <v/>
      </c>
      <c r="AN29" s="130" t="n"/>
      <c r="AO29" s="38">
        <f>AN29*$C29</f>
        <v/>
      </c>
      <c r="AP29" s="130" t="n"/>
      <c r="AQ29" s="38">
        <f>AP29*$C29</f>
        <v/>
      </c>
      <c r="AR29" s="130" t="n"/>
      <c r="AS29" s="38">
        <f>AR29*$C29</f>
        <v/>
      </c>
      <c r="AT29" s="130" t="n"/>
      <c r="AU29" s="38">
        <f>AT29*$C29</f>
        <v/>
      </c>
      <c r="AV29" s="130" t="n"/>
      <c r="AW29" s="38">
        <f>AV29*$C29</f>
        <v/>
      </c>
      <c r="AX29" s="130" t="n"/>
      <c r="AY29" s="38">
        <f>AX29*$C29</f>
        <v/>
      </c>
    </row>
    <row r="30">
      <c r="A30" s="56" t="inlineStr">
        <is>
          <t>SA02210STT</t>
        </is>
      </c>
      <c r="B30" s="57" t="inlineStr">
        <is>
          <t>Notification/Correspondence Fees: Advanced address search (per trace)</t>
        </is>
      </c>
      <c r="C30" s="126" t="n">
        <v>0.15</v>
      </c>
      <c r="D30" s="127" t="n">
        <v>9695</v>
      </c>
      <c r="E30" s="38">
        <f>ROUND(C30*D30,2)</f>
        <v/>
      </c>
      <c r="F30" s="60" t="n"/>
      <c r="G30" s="128">
        <f t="array" ref="G30">SUMPRODUCT(L30:EZ30,--(MOD(COLUMN(L30:EZ30),2)=0))</f>
        <v/>
      </c>
      <c r="H30" s="38">
        <f t="array" ref="H30">SUMPRODUCT(L30:EZ30,MOD(COLUMN(L30:EZ30),2))</f>
        <v/>
      </c>
      <c r="I30" s="129">
        <f>D30-G30</f>
        <v/>
      </c>
      <c r="J30" s="40">
        <f>ROUND(E30,2)-ROUND(H30,2)</f>
        <v/>
      </c>
      <c r="K30" s="116">
        <f>IF(J30=0,"",IF(J30&lt;0,"IMPORTANT:  Over budget - Needs review","Currently at or under budget"))</f>
        <v/>
      </c>
      <c r="L30" s="130" t="n"/>
      <c r="M30" s="40">
        <f>L30*$C30</f>
        <v/>
      </c>
      <c r="N30" s="130" t="n"/>
      <c r="O30" s="40">
        <f>N30*$C30</f>
        <v/>
      </c>
      <c r="P30" s="130" t="n"/>
      <c r="Q30" s="40">
        <f>P30*$C30</f>
        <v/>
      </c>
      <c r="R30" s="130" t="n"/>
      <c r="S30" s="40">
        <f>R30*$C30</f>
        <v/>
      </c>
      <c r="T30" s="130" t="n"/>
      <c r="U30" s="64">
        <f>T30*$C30</f>
        <v/>
      </c>
      <c r="V30" s="130" t="n"/>
      <c r="W30" s="38">
        <f>V30*$C30</f>
        <v/>
      </c>
      <c r="X30" s="130" t="n"/>
      <c r="Y30" s="38">
        <f>X30*$C30</f>
        <v/>
      </c>
      <c r="Z30" s="130" t="n"/>
      <c r="AA30" s="38">
        <f>Z30*$C30</f>
        <v/>
      </c>
      <c r="AB30" s="130" t="n"/>
      <c r="AC30" s="38">
        <f>AB30*$C30</f>
        <v/>
      </c>
      <c r="AD30" s="130" t="n"/>
      <c r="AE30" s="38">
        <f>AD30*$C30</f>
        <v/>
      </c>
      <c r="AF30" s="130" t="n"/>
      <c r="AG30" s="38">
        <f>AF30*$C30</f>
        <v/>
      </c>
      <c r="AH30" s="130" t="n"/>
      <c r="AI30" s="38">
        <f>AH30*$C30</f>
        <v/>
      </c>
      <c r="AJ30" s="130" t="n"/>
      <c r="AK30" s="38">
        <f>AJ30*$C30</f>
        <v/>
      </c>
      <c r="AL30" s="130" t="n"/>
      <c r="AM30" s="38">
        <f>AL30*$C30</f>
        <v/>
      </c>
      <c r="AN30" s="130" t="n"/>
      <c r="AO30" s="38">
        <f>AN30*$C30</f>
        <v/>
      </c>
      <c r="AP30" s="130" t="n"/>
      <c r="AQ30" s="38">
        <f>AP30*$C30</f>
        <v/>
      </c>
      <c r="AR30" s="130" t="n"/>
      <c r="AS30" s="38">
        <f>AR30*$C30</f>
        <v/>
      </c>
      <c r="AT30" s="130" t="n"/>
      <c r="AU30" s="38">
        <f>AT30*$C30</f>
        <v/>
      </c>
      <c r="AV30" s="130" t="n"/>
      <c r="AW30" s="38">
        <f>AV30*$C30</f>
        <v/>
      </c>
      <c r="AX30" s="130" t="n"/>
      <c r="AY30" s="38">
        <f>AX30*$C30</f>
        <v/>
      </c>
    </row>
    <row r="31">
      <c r="A31" s="56" t="inlineStr">
        <is>
          <t>SA02230AST</t>
        </is>
      </c>
      <c r="B31" s="57" t="inlineStr">
        <is>
          <t>Notification/Correspondence Fees: Additional Skip-tracing (per trace)</t>
        </is>
      </c>
      <c r="C31" s="126" t="n"/>
      <c r="D31" s="127" t="n"/>
      <c r="E31" s="38">
        <f>ROUND(C31*D31,2)</f>
        <v/>
      </c>
      <c r="F31" s="60" t="n"/>
      <c r="G31" s="128">
        <f t="array" ref="G31">SUMPRODUCT(L31:EZ31,--(MOD(COLUMN(L31:EZ31),2)=0))</f>
        <v/>
      </c>
      <c r="H31" s="38">
        <f t="array" ref="H31">SUMPRODUCT(L31:EZ31,MOD(COLUMN(L31:EZ31),2))</f>
        <v/>
      </c>
      <c r="I31" s="129">
        <f>D31-G31</f>
        <v/>
      </c>
      <c r="J31" s="40">
        <f>ROUND(E31,2)-ROUND(H31,2)</f>
        <v/>
      </c>
      <c r="K31" s="116">
        <f>IF(J31=0,"",IF(J31&lt;0,"IMPORTANT:  Over budget - Needs review","Currently at or under budget"))</f>
        <v/>
      </c>
      <c r="L31" s="130" t="n"/>
      <c r="M31" s="40">
        <f>L31*$C31</f>
        <v/>
      </c>
      <c r="N31" s="130" t="n"/>
      <c r="O31" s="40">
        <f>N31*$C31</f>
        <v/>
      </c>
      <c r="P31" s="130" t="n"/>
      <c r="Q31" s="40">
        <f>P31*$C31</f>
        <v/>
      </c>
      <c r="R31" s="130" t="n"/>
      <c r="S31" s="40">
        <f>R31*$C31</f>
        <v/>
      </c>
      <c r="T31" s="130" t="n"/>
      <c r="U31" s="64">
        <f>T31*$C31</f>
        <v/>
      </c>
      <c r="V31" s="130" t="n"/>
      <c r="W31" s="38">
        <f>V31*$C31</f>
        <v/>
      </c>
      <c r="X31" s="130" t="n"/>
      <c r="Y31" s="38">
        <f>X31*$C31</f>
        <v/>
      </c>
      <c r="Z31" s="130" t="n"/>
      <c r="AA31" s="38">
        <f>Z31*$C31</f>
        <v/>
      </c>
      <c r="AB31" s="130" t="n"/>
      <c r="AC31" s="38">
        <f>AB31*$C31</f>
        <v/>
      </c>
      <c r="AD31" s="130" t="n"/>
      <c r="AE31" s="38">
        <f>AD31*$C31</f>
        <v/>
      </c>
      <c r="AF31" s="130" t="n"/>
      <c r="AG31" s="38">
        <f>AF31*$C31</f>
        <v/>
      </c>
      <c r="AH31" s="130" t="n"/>
      <c r="AI31" s="38">
        <f>AH31*$C31</f>
        <v/>
      </c>
      <c r="AJ31" s="130" t="n"/>
      <c r="AK31" s="38">
        <f>AJ31*$C31</f>
        <v/>
      </c>
      <c r="AL31" s="130" t="n"/>
      <c r="AM31" s="38">
        <f>AL31*$C31</f>
        <v/>
      </c>
      <c r="AN31" s="130" t="n"/>
      <c r="AO31" s="38">
        <f>AN31*$C31</f>
        <v/>
      </c>
      <c r="AP31" s="130" t="n"/>
      <c r="AQ31" s="38">
        <f>AP31*$C31</f>
        <v/>
      </c>
      <c r="AR31" s="130" t="n"/>
      <c r="AS31" s="38">
        <f>AR31*$C31</f>
        <v/>
      </c>
      <c r="AT31" s="130" t="n"/>
      <c r="AU31" s="38">
        <f>AT31*$C31</f>
        <v/>
      </c>
      <c r="AV31" s="130" t="n"/>
      <c r="AW31" s="38">
        <f>AV31*$C31</f>
        <v/>
      </c>
      <c r="AX31" s="130" t="n"/>
      <c r="AY31" s="38">
        <f>AX31*$C31</f>
        <v/>
      </c>
    </row>
    <row r="32">
      <c r="A32" s="56" t="inlineStr">
        <is>
          <t>SA02250RNN</t>
        </is>
      </c>
      <c r="B32" s="57" t="inlineStr">
        <is>
          <t>Notification/Correspondence Fees: Re-mail notices (per notice)</t>
        </is>
      </c>
      <c r="C32" s="126" t="n">
        <v>0.25</v>
      </c>
      <c r="D32" s="127" t="n">
        <v>5817</v>
      </c>
      <c r="E32" s="38">
        <f>ROUND(C32*D32,2)</f>
        <v/>
      </c>
      <c r="F32" s="60" t="n"/>
      <c r="G32" s="128">
        <f t="array" ref="G32">SUMPRODUCT(L32:EZ32,--(MOD(COLUMN(L32:EZ32),2)=0))</f>
        <v/>
      </c>
      <c r="H32" s="38">
        <f t="array" ref="H32">SUMPRODUCT(L32:EZ32,MOD(COLUMN(L32:EZ32),2))</f>
        <v/>
      </c>
      <c r="I32" s="129">
        <f>D32-G32</f>
        <v/>
      </c>
      <c r="J32" s="40">
        <f>ROUND(E32,2)-ROUND(H32,2)</f>
        <v/>
      </c>
      <c r="K32" s="116">
        <f>IF(J32=0,"",IF(J32&lt;0,"IMPORTANT:  Over budget - Needs review","Currently at or under budget"))</f>
        <v/>
      </c>
      <c r="L32" s="130" t="n"/>
      <c r="M32" s="40">
        <f>L32*$C32</f>
        <v/>
      </c>
      <c r="N32" s="130" t="n"/>
      <c r="O32" s="40">
        <f>N32*$C32</f>
        <v/>
      </c>
      <c r="P32" s="130" t="n"/>
      <c r="Q32" s="40">
        <f>P32*$C32</f>
        <v/>
      </c>
      <c r="R32" s="130" t="n"/>
      <c r="S32" s="40">
        <f>R32*$C32</f>
        <v/>
      </c>
      <c r="T32" s="130" t="n"/>
      <c r="U32" s="64">
        <f>T32*$C32</f>
        <v/>
      </c>
      <c r="V32" s="130" t="n"/>
      <c r="W32" s="38">
        <f>V32*$C32</f>
        <v/>
      </c>
      <c r="X32" s="130" t="n"/>
      <c r="Y32" s="38">
        <f>X32*$C32</f>
        <v/>
      </c>
      <c r="Z32" s="130" t="n"/>
      <c r="AA32" s="38">
        <f>Z32*$C32</f>
        <v/>
      </c>
      <c r="AB32" s="130" t="n"/>
      <c r="AC32" s="38">
        <f>AB32*$C32</f>
        <v/>
      </c>
      <c r="AD32" s="130" t="n"/>
      <c r="AE32" s="38">
        <f>AD32*$C32</f>
        <v/>
      </c>
      <c r="AF32" s="130" t="n"/>
      <c r="AG32" s="38">
        <f>AF32*$C32</f>
        <v/>
      </c>
      <c r="AH32" s="130" t="n"/>
      <c r="AI32" s="38">
        <f>AH32*$C32</f>
        <v/>
      </c>
      <c r="AJ32" s="130" t="n"/>
      <c r="AK32" s="38">
        <f>AJ32*$C32</f>
        <v/>
      </c>
      <c r="AL32" s="130" t="n"/>
      <c r="AM32" s="38">
        <f>AL32*$C32</f>
        <v/>
      </c>
      <c r="AN32" s="130" t="n"/>
      <c r="AO32" s="38">
        <f>AN32*$C32</f>
        <v/>
      </c>
      <c r="AP32" s="130" t="n"/>
      <c r="AQ32" s="38">
        <f>AP32*$C32</f>
        <v/>
      </c>
      <c r="AR32" s="130" t="n"/>
      <c r="AS32" s="38">
        <f>AR32*$C32</f>
        <v/>
      </c>
      <c r="AT32" s="130" t="n"/>
      <c r="AU32" s="38">
        <f>AT32*$C32</f>
        <v/>
      </c>
      <c r="AV32" s="130" t="n"/>
      <c r="AW32" s="38">
        <f>AV32*$C32</f>
        <v/>
      </c>
      <c r="AX32" s="130" t="n"/>
      <c r="AY32" s="38">
        <f>AX32*$C32</f>
        <v/>
      </c>
    </row>
    <row r="33">
      <c r="A33" s="56" t="inlineStr">
        <is>
          <t>SA02270EAR</t>
        </is>
      </c>
      <c r="B33" s="57" t="inlineStr">
        <is>
          <t>Notification/Correspondence Fees: Print/address - Email address searches (per record)</t>
        </is>
      </c>
      <c r="C33" s="126" t="n">
        <v>2.5</v>
      </c>
      <c r="D33" s="127" t="n">
        <v>181</v>
      </c>
      <c r="E33" s="38">
        <f>ROUND(C33*D33,2)</f>
        <v/>
      </c>
      <c r="F33" s="60" t="n"/>
      <c r="G33" s="128">
        <f t="array" ref="G33">SUMPRODUCT(L33:EZ33,--(MOD(COLUMN(L33:EZ33),2)=0))</f>
        <v/>
      </c>
      <c r="H33" s="38">
        <f t="array" ref="H33">SUMPRODUCT(L33:EZ33,MOD(COLUMN(L33:EZ33),2))</f>
        <v/>
      </c>
      <c r="I33" s="129">
        <f>D33-G33</f>
        <v/>
      </c>
      <c r="J33" s="40">
        <f>ROUND(E33,2)-ROUND(H33,2)</f>
        <v/>
      </c>
      <c r="K33" s="116">
        <f>IF(J33=0,"",IF(J33&lt;0,"IMPORTANT:  Over budget - Needs review","Currently at or under budget"))</f>
        <v/>
      </c>
      <c r="L33" s="130" t="n"/>
      <c r="M33" s="40">
        <f>L33*$C33</f>
        <v/>
      </c>
      <c r="N33" s="130" t="n"/>
      <c r="O33" s="40">
        <f>N33*$C33</f>
        <v/>
      </c>
      <c r="P33" s="130" t="n"/>
      <c r="Q33" s="40">
        <f>P33*$C33</f>
        <v/>
      </c>
      <c r="R33" s="130" t="n"/>
      <c r="S33" s="40">
        <f>R33*$C33</f>
        <v/>
      </c>
      <c r="T33" s="130" t="n"/>
      <c r="U33" s="64">
        <f>T33*$C33</f>
        <v/>
      </c>
      <c r="V33" s="130" t="n"/>
      <c r="W33" s="38">
        <f>V33*$C33</f>
        <v/>
      </c>
      <c r="X33" s="130" t="n"/>
      <c r="Y33" s="38">
        <f>X33*$C33</f>
        <v/>
      </c>
      <c r="Z33" s="130" t="n"/>
      <c r="AA33" s="38">
        <f>Z33*$C33</f>
        <v/>
      </c>
      <c r="AB33" s="130" t="n"/>
      <c r="AC33" s="38">
        <f>AB33*$C33</f>
        <v/>
      </c>
      <c r="AD33" s="130" t="n"/>
      <c r="AE33" s="38">
        <f>AD33*$C33</f>
        <v/>
      </c>
      <c r="AF33" s="130" t="n"/>
      <c r="AG33" s="38">
        <f>AF33*$C33</f>
        <v/>
      </c>
      <c r="AH33" s="130" t="n"/>
      <c r="AI33" s="38">
        <f>AH33*$C33</f>
        <v/>
      </c>
      <c r="AJ33" s="130" t="n"/>
      <c r="AK33" s="38">
        <f>AJ33*$C33</f>
        <v/>
      </c>
      <c r="AL33" s="130" t="n"/>
      <c r="AM33" s="38">
        <f>AL33*$C33</f>
        <v/>
      </c>
      <c r="AN33" s="130" t="n"/>
      <c r="AO33" s="38">
        <f>AN33*$C33</f>
        <v/>
      </c>
      <c r="AP33" s="130" t="n"/>
      <c r="AQ33" s="38">
        <f>AP33*$C33</f>
        <v/>
      </c>
      <c r="AR33" s="130" t="n"/>
      <c r="AS33" s="38">
        <f>AR33*$C33</f>
        <v/>
      </c>
      <c r="AT33" s="130" t="n"/>
      <c r="AU33" s="38">
        <f>AT33*$C33</f>
        <v/>
      </c>
      <c r="AV33" s="130" t="n"/>
      <c r="AW33" s="38">
        <f>AV33*$C33</f>
        <v/>
      </c>
      <c r="AX33" s="130" t="n"/>
      <c r="AY33" s="38">
        <f>AX33*$C33</f>
        <v/>
      </c>
    </row>
    <row r="34">
      <c r="A34" s="56" t="inlineStr">
        <is>
          <t>SA02280PNR</t>
        </is>
      </c>
      <c r="B34" s="57" t="inlineStr">
        <is>
          <t>Notification/Correspondence Fees: Print/address - Phone number searches (per record)</t>
        </is>
      </c>
      <c r="C34" s="126" t="n"/>
      <c r="D34" s="127" t="n"/>
      <c r="E34" s="38">
        <f>ROUND(C34*D34,2)</f>
        <v/>
      </c>
      <c r="F34" s="60" t="n"/>
      <c r="G34" s="128">
        <f t="array" ref="G34">SUMPRODUCT(L34:EZ34,--(MOD(COLUMN(L34:EZ34),2)=0))</f>
        <v/>
      </c>
      <c r="H34" s="38">
        <f t="array" ref="H34">SUMPRODUCT(L34:EZ34,MOD(COLUMN(L34:EZ34),2))</f>
        <v/>
      </c>
      <c r="I34" s="129">
        <f>D34-G34</f>
        <v/>
      </c>
      <c r="J34" s="40">
        <f>ROUND(E34,2)-ROUND(H34,2)</f>
        <v/>
      </c>
      <c r="K34" s="116">
        <f>IF(J34=0,"",IF(J34&lt;0,"IMPORTANT:  Over budget - Needs review","Currently at or under budget"))</f>
        <v/>
      </c>
      <c r="L34" s="130" t="n"/>
      <c r="M34" s="40">
        <f>L34*$C34</f>
        <v/>
      </c>
      <c r="N34" s="130" t="n"/>
      <c r="O34" s="40">
        <f>N34*$C34</f>
        <v/>
      </c>
      <c r="P34" s="130" t="n"/>
      <c r="Q34" s="40">
        <f>P34*$C34</f>
        <v/>
      </c>
      <c r="R34" s="130" t="n"/>
      <c r="S34" s="40">
        <f>R34*$C34</f>
        <v/>
      </c>
      <c r="T34" s="130" t="n"/>
      <c r="U34" s="64">
        <f>T34*$C34</f>
        <v/>
      </c>
      <c r="V34" s="130" t="n"/>
      <c r="W34" s="38">
        <f>V34*$C34</f>
        <v/>
      </c>
      <c r="X34" s="130" t="n"/>
      <c r="Y34" s="38">
        <f>X34*$C34</f>
        <v/>
      </c>
      <c r="Z34" s="130" t="n"/>
      <c r="AA34" s="38">
        <f>Z34*$C34</f>
        <v/>
      </c>
      <c r="AB34" s="130" t="n"/>
      <c r="AC34" s="38">
        <f>AB34*$C34</f>
        <v/>
      </c>
      <c r="AD34" s="130" t="n"/>
      <c r="AE34" s="38">
        <f>AD34*$C34</f>
        <v/>
      </c>
      <c r="AF34" s="130" t="n"/>
      <c r="AG34" s="38">
        <f>AF34*$C34</f>
        <v/>
      </c>
      <c r="AH34" s="130" t="n"/>
      <c r="AI34" s="38">
        <f>AH34*$C34</f>
        <v/>
      </c>
      <c r="AJ34" s="130" t="n"/>
      <c r="AK34" s="38">
        <f>AJ34*$C34</f>
        <v/>
      </c>
      <c r="AL34" s="130" t="n"/>
      <c r="AM34" s="38">
        <f>AL34*$C34</f>
        <v/>
      </c>
      <c r="AN34" s="130" t="n"/>
      <c r="AO34" s="38">
        <f>AN34*$C34</f>
        <v/>
      </c>
      <c r="AP34" s="130" t="n"/>
      <c r="AQ34" s="38">
        <f>AP34*$C34</f>
        <v/>
      </c>
      <c r="AR34" s="130" t="n"/>
      <c r="AS34" s="38">
        <f>AR34*$C34</f>
        <v/>
      </c>
      <c r="AT34" s="130" t="n"/>
      <c r="AU34" s="38">
        <f>AT34*$C34</f>
        <v/>
      </c>
      <c r="AV34" s="130" t="n"/>
      <c r="AW34" s="38">
        <f>AV34*$C34</f>
        <v/>
      </c>
      <c r="AX34" s="130" t="n"/>
      <c r="AY34" s="38">
        <f>AX34*$C34</f>
        <v/>
      </c>
    </row>
    <row r="35">
      <c r="A35" s="56" t="inlineStr">
        <is>
          <t>SA02290RRN</t>
        </is>
      </c>
      <c r="B35" s="57" t="inlineStr">
        <is>
          <t>Notification/Correspondence Fees: Receive and respond to notice requests (per notice)</t>
        </is>
      </c>
      <c r="C35" s="126" t="n">
        <v>2</v>
      </c>
      <c r="D35" s="127" t="n">
        <v>36</v>
      </c>
      <c r="E35" s="38">
        <f>ROUND(C35*D35,2)</f>
        <v/>
      </c>
      <c r="F35" s="60" t="n"/>
      <c r="G35" s="128">
        <f t="array" ref="G35">SUMPRODUCT(L35:EZ35,--(MOD(COLUMN(L35:EZ35),2)=0))</f>
        <v/>
      </c>
      <c r="H35" s="38">
        <f t="array" ref="H35">SUMPRODUCT(L35:EZ35,MOD(COLUMN(L35:EZ35),2))</f>
        <v/>
      </c>
      <c r="I35" s="129">
        <f>D35-G35</f>
        <v/>
      </c>
      <c r="J35" s="40">
        <f>ROUND(E35,2)-ROUND(H35,2)</f>
        <v/>
      </c>
      <c r="K35" s="116">
        <f>IF(J35=0,"",IF(J35&lt;0,"IMPORTANT:  Over budget - Needs review","Currently at or under budget"))</f>
        <v/>
      </c>
      <c r="L35" s="130" t="n"/>
      <c r="M35" s="40">
        <f>L35*$C35</f>
        <v/>
      </c>
      <c r="N35" s="130" t="n"/>
      <c r="O35" s="40">
        <f>N35*$C35</f>
        <v/>
      </c>
      <c r="P35" s="130" t="n"/>
      <c r="Q35" s="40">
        <f>P35*$C35</f>
        <v/>
      </c>
      <c r="R35" s="130" t="n"/>
      <c r="S35" s="40">
        <f>R35*$C35</f>
        <v/>
      </c>
      <c r="T35" s="130" t="n"/>
      <c r="U35" s="64">
        <f>T35*$C35</f>
        <v/>
      </c>
      <c r="V35" s="130" t="n"/>
      <c r="W35" s="38">
        <f>V35*$C35</f>
        <v/>
      </c>
      <c r="X35" s="130" t="n"/>
      <c r="Y35" s="38">
        <f>X35*$C35</f>
        <v/>
      </c>
      <c r="Z35" s="130" t="n"/>
      <c r="AA35" s="38">
        <f>Z35*$C35</f>
        <v/>
      </c>
      <c r="AB35" s="130" t="n"/>
      <c r="AC35" s="38">
        <f>AB35*$C35</f>
        <v/>
      </c>
      <c r="AD35" s="130" t="n"/>
      <c r="AE35" s="38">
        <f>AD35*$C35</f>
        <v/>
      </c>
      <c r="AF35" s="130" t="n"/>
      <c r="AG35" s="38">
        <f>AF35*$C35</f>
        <v/>
      </c>
      <c r="AH35" s="130" t="n"/>
      <c r="AI35" s="38">
        <f>AH35*$C35</f>
        <v/>
      </c>
      <c r="AJ35" s="130" t="n"/>
      <c r="AK35" s="38">
        <f>AJ35*$C35</f>
        <v/>
      </c>
      <c r="AL35" s="130" t="n"/>
      <c r="AM35" s="38">
        <f>AL35*$C35</f>
        <v/>
      </c>
      <c r="AN35" s="130" t="n"/>
      <c r="AO35" s="38">
        <f>AN35*$C35</f>
        <v/>
      </c>
      <c r="AP35" s="130" t="n"/>
      <c r="AQ35" s="38">
        <f>AP35*$C35</f>
        <v/>
      </c>
      <c r="AR35" s="130" t="n"/>
      <c r="AS35" s="38">
        <f>AR35*$C35</f>
        <v/>
      </c>
      <c r="AT35" s="130" t="n"/>
      <c r="AU35" s="38">
        <f>AT35*$C35</f>
        <v/>
      </c>
      <c r="AV35" s="130" t="n"/>
      <c r="AW35" s="38">
        <f>AV35*$C35</f>
        <v/>
      </c>
      <c r="AX35" s="130" t="n"/>
      <c r="AY35" s="38">
        <f>AX35*$C35</f>
        <v/>
      </c>
    </row>
    <row r="36">
      <c r="A36" s="56" t="inlineStr">
        <is>
          <t>SA02330FLL</t>
        </is>
      </c>
      <c r="B36" s="57" t="inlineStr">
        <is>
          <t>Notification/Correspondence Fees: Form letter correspondence (per letter)</t>
        </is>
      </c>
      <c r="C36" s="126" t="n">
        <v>5</v>
      </c>
      <c r="D36" s="127" t="n">
        <v>54</v>
      </c>
      <c r="E36" s="38">
        <f>ROUND(C36*D36,2)</f>
        <v/>
      </c>
      <c r="F36" s="60" t="n"/>
      <c r="G36" s="128">
        <f t="array" ref="G36">SUMPRODUCT(L36:EZ36,--(MOD(COLUMN(L36:EZ36),2)=0))</f>
        <v/>
      </c>
      <c r="H36" s="38">
        <f t="array" ref="H36">SUMPRODUCT(L36:EZ36,MOD(COLUMN(L36:EZ36),2))</f>
        <v/>
      </c>
      <c r="I36" s="129">
        <f>D36-G36</f>
        <v/>
      </c>
      <c r="J36" s="40">
        <f>ROUND(E36,2)-ROUND(H36,2)</f>
        <v/>
      </c>
      <c r="K36" s="116">
        <f>IF(J36=0,"",IF(J36&lt;0,"IMPORTANT:  Over budget - Needs review","Currently at or under budget"))</f>
        <v/>
      </c>
      <c r="L36" s="130" t="n"/>
      <c r="M36" s="40">
        <f>L36*$C36</f>
        <v/>
      </c>
      <c r="N36" s="130" t="n"/>
      <c r="O36" s="40">
        <f>N36*$C36</f>
        <v/>
      </c>
      <c r="P36" s="130" t="n"/>
      <c r="Q36" s="40">
        <f>P36*$C36</f>
        <v/>
      </c>
      <c r="R36" s="130" t="n"/>
      <c r="S36" s="40">
        <f>R36*$C36</f>
        <v/>
      </c>
      <c r="T36" s="130" t="n"/>
      <c r="U36" s="64">
        <f>T36*$C36</f>
        <v/>
      </c>
      <c r="V36" s="130" t="n"/>
      <c r="W36" s="38">
        <f>V36*$C36</f>
        <v/>
      </c>
      <c r="X36" s="130" t="n"/>
      <c r="Y36" s="38">
        <f>X36*$C36</f>
        <v/>
      </c>
      <c r="Z36" s="130" t="n"/>
      <c r="AA36" s="38">
        <f>Z36*$C36</f>
        <v/>
      </c>
      <c r="AB36" s="130" t="n"/>
      <c r="AC36" s="38">
        <f>AB36*$C36</f>
        <v/>
      </c>
      <c r="AD36" s="130" t="n"/>
      <c r="AE36" s="38">
        <f>AD36*$C36</f>
        <v/>
      </c>
      <c r="AF36" s="130" t="n"/>
      <c r="AG36" s="38">
        <f>AF36*$C36</f>
        <v/>
      </c>
      <c r="AH36" s="130" t="n"/>
      <c r="AI36" s="38">
        <f>AH36*$C36</f>
        <v/>
      </c>
      <c r="AJ36" s="130" t="n"/>
      <c r="AK36" s="38">
        <f>AJ36*$C36</f>
        <v/>
      </c>
      <c r="AL36" s="130" t="n"/>
      <c r="AM36" s="38">
        <f>AL36*$C36</f>
        <v/>
      </c>
      <c r="AN36" s="130" t="n"/>
      <c r="AO36" s="38">
        <f>AN36*$C36</f>
        <v/>
      </c>
      <c r="AP36" s="130" t="n"/>
      <c r="AQ36" s="38">
        <f>AP36*$C36</f>
        <v/>
      </c>
      <c r="AR36" s="130" t="n"/>
      <c r="AS36" s="38">
        <f>AR36*$C36</f>
        <v/>
      </c>
      <c r="AT36" s="130" t="n"/>
      <c r="AU36" s="38">
        <f>AT36*$C36</f>
        <v/>
      </c>
      <c r="AV36" s="130" t="n"/>
      <c r="AW36" s="38">
        <f>AV36*$C36</f>
        <v/>
      </c>
      <c r="AX36" s="130" t="n"/>
      <c r="AY36" s="38">
        <f>AX36*$C36</f>
        <v/>
      </c>
    </row>
    <row r="37">
      <c r="A37" s="56" t="inlineStr">
        <is>
          <t>SA02370ECL</t>
        </is>
      </c>
      <c r="B37" s="57" t="inlineStr">
        <is>
          <t>Notification/Correspondence Fees: Email correspondence (per email)</t>
        </is>
      </c>
      <c r="C37" s="126" t="n"/>
      <c r="D37" s="127" t="n"/>
      <c r="E37" s="38">
        <f>ROUND(C37*D37,2)</f>
        <v/>
      </c>
      <c r="F37" s="60" t="n"/>
      <c r="G37" s="128">
        <f t="array" ref="G37">SUMPRODUCT(L37:EZ37,--(MOD(COLUMN(L37:EZ37),2)=0))</f>
        <v/>
      </c>
      <c r="H37" s="38">
        <f t="array" ref="H37">SUMPRODUCT(L37:EZ37,MOD(COLUMN(L37:EZ37),2))</f>
        <v/>
      </c>
      <c r="I37" s="129">
        <f>D37-G37</f>
        <v/>
      </c>
      <c r="J37" s="40">
        <f>ROUND(E37,2)-ROUND(H37,2)</f>
        <v/>
      </c>
      <c r="K37" s="116">
        <f>IF(J37=0,"",IF(J37&lt;0,"IMPORTANT:  Over budget - Needs review","Currently at or under budget"))</f>
        <v/>
      </c>
      <c r="L37" s="130" t="n"/>
      <c r="M37" s="40">
        <f>L37*$C37</f>
        <v/>
      </c>
      <c r="N37" s="130" t="n"/>
      <c r="O37" s="40">
        <f>N37*$C37</f>
        <v/>
      </c>
      <c r="P37" s="130" t="n"/>
      <c r="Q37" s="40">
        <f>P37*$C37</f>
        <v/>
      </c>
      <c r="R37" s="130" t="n"/>
      <c r="S37" s="40">
        <f>R37*$C37</f>
        <v/>
      </c>
      <c r="T37" s="130" t="n"/>
      <c r="U37" s="64">
        <f>T37*$C37</f>
        <v/>
      </c>
      <c r="V37" s="130" t="n"/>
      <c r="W37" s="38">
        <f>V37*$C37</f>
        <v/>
      </c>
      <c r="X37" s="130" t="n"/>
      <c r="Y37" s="38">
        <f>X37*$C37</f>
        <v/>
      </c>
      <c r="Z37" s="130" t="n"/>
      <c r="AA37" s="38">
        <f>Z37*$C37</f>
        <v/>
      </c>
      <c r="AB37" s="130" t="n"/>
      <c r="AC37" s="38">
        <f>AB37*$C37</f>
        <v/>
      </c>
      <c r="AD37" s="130" t="n"/>
      <c r="AE37" s="38">
        <f>AD37*$C37</f>
        <v/>
      </c>
      <c r="AF37" s="130" t="n"/>
      <c r="AG37" s="38">
        <f>AF37*$C37</f>
        <v/>
      </c>
      <c r="AH37" s="130" t="n"/>
      <c r="AI37" s="38">
        <f>AH37*$C37</f>
        <v/>
      </c>
      <c r="AJ37" s="130" t="n"/>
      <c r="AK37" s="38">
        <f>AJ37*$C37</f>
        <v/>
      </c>
      <c r="AL37" s="130" t="n"/>
      <c r="AM37" s="38">
        <f>AL37*$C37</f>
        <v/>
      </c>
      <c r="AN37" s="130" t="n"/>
      <c r="AO37" s="38">
        <f>AN37*$C37</f>
        <v/>
      </c>
      <c r="AP37" s="130" t="n"/>
      <c r="AQ37" s="38">
        <f>AP37*$C37</f>
        <v/>
      </c>
      <c r="AR37" s="130" t="n"/>
      <c r="AS37" s="38">
        <f>AR37*$C37</f>
        <v/>
      </c>
      <c r="AT37" s="130" t="n"/>
      <c r="AU37" s="38">
        <f>AT37*$C37</f>
        <v/>
      </c>
      <c r="AV37" s="130" t="n"/>
      <c r="AW37" s="38">
        <f>AV37*$C37</f>
        <v/>
      </c>
      <c r="AX37" s="130" t="n"/>
      <c r="AY37" s="38">
        <f>AX37*$C37</f>
        <v/>
      </c>
    </row>
    <row r="38">
      <c r="A38" s="56" t="inlineStr">
        <is>
          <t>SA02410PCR</t>
        </is>
      </c>
      <c r="B38" s="57" t="inlineStr">
        <is>
          <t>Notification/Correspondence Fees: Processing change of address requests (per request)</t>
        </is>
      </c>
      <c r="C38" s="126" t="n">
        <v>2</v>
      </c>
      <c r="D38" s="127" t="n">
        <v>4</v>
      </c>
      <c r="E38" s="38">
        <f>ROUND(C38*D38,2)</f>
        <v/>
      </c>
      <c r="F38" s="60" t="n"/>
      <c r="G38" s="128">
        <f t="array" ref="G38">SUMPRODUCT(L38:EZ38,--(MOD(COLUMN(L38:EZ38),2)=0))</f>
        <v/>
      </c>
      <c r="H38" s="38">
        <f t="array" ref="H38">SUMPRODUCT(L38:EZ38,MOD(COLUMN(L38:EZ38),2))</f>
        <v/>
      </c>
      <c r="I38" s="129">
        <f>D38-G38</f>
        <v/>
      </c>
      <c r="J38" s="40">
        <f>ROUND(E38,2)-ROUND(H38,2)</f>
        <v/>
      </c>
      <c r="K38" s="116">
        <f>IF(J38=0,"",IF(J38&lt;0,"IMPORTANT:  Over budget - Needs review","Currently at or under budget"))</f>
        <v/>
      </c>
      <c r="L38" s="130" t="n"/>
      <c r="M38" s="40">
        <f>L38*$C38</f>
        <v/>
      </c>
      <c r="N38" s="130" t="n"/>
      <c r="O38" s="40">
        <f>N38*$C38</f>
        <v/>
      </c>
      <c r="P38" s="130" t="n"/>
      <c r="Q38" s="40">
        <f>P38*$C38</f>
        <v/>
      </c>
      <c r="R38" s="130" t="n"/>
      <c r="S38" s="40">
        <f>R38*$C38</f>
        <v/>
      </c>
      <c r="T38" s="130" t="n"/>
      <c r="U38" s="64">
        <f>T38*$C38</f>
        <v/>
      </c>
      <c r="V38" s="130" t="n"/>
      <c r="W38" s="38">
        <f>V38*$C38</f>
        <v/>
      </c>
      <c r="X38" s="130" t="n"/>
      <c r="Y38" s="38">
        <f>X38*$C38</f>
        <v/>
      </c>
      <c r="Z38" s="130" t="n"/>
      <c r="AA38" s="38">
        <f>Z38*$C38</f>
        <v/>
      </c>
      <c r="AB38" s="130" t="n"/>
      <c r="AC38" s="38">
        <f>AB38*$C38</f>
        <v/>
      </c>
      <c r="AD38" s="130" t="n"/>
      <c r="AE38" s="38">
        <f>AD38*$C38</f>
        <v/>
      </c>
      <c r="AF38" s="130" t="n"/>
      <c r="AG38" s="38">
        <f>AF38*$C38</f>
        <v/>
      </c>
      <c r="AH38" s="130" t="n"/>
      <c r="AI38" s="38">
        <f>AH38*$C38</f>
        <v/>
      </c>
      <c r="AJ38" s="130" t="n"/>
      <c r="AK38" s="38">
        <f>AJ38*$C38</f>
        <v/>
      </c>
      <c r="AL38" s="130" t="n"/>
      <c r="AM38" s="38">
        <f>AL38*$C38</f>
        <v/>
      </c>
      <c r="AN38" s="130" t="n"/>
      <c r="AO38" s="38">
        <f>AN38*$C38</f>
        <v/>
      </c>
      <c r="AP38" s="130" t="n"/>
      <c r="AQ38" s="38">
        <f>AP38*$C38</f>
        <v/>
      </c>
      <c r="AR38" s="130" t="n"/>
      <c r="AS38" s="38">
        <f>AR38*$C38</f>
        <v/>
      </c>
      <c r="AT38" s="130" t="n"/>
      <c r="AU38" s="38">
        <f>AT38*$C38</f>
        <v/>
      </c>
      <c r="AV38" s="130" t="n"/>
      <c r="AW38" s="38">
        <f>AV38*$C38</f>
        <v/>
      </c>
      <c r="AX38" s="130" t="n"/>
      <c r="AY38" s="38">
        <f>AX38*$C38</f>
        <v/>
      </c>
    </row>
    <row r="39">
      <c r="A39" s="56" t="inlineStr">
        <is>
          <t>SA02450SLL</t>
        </is>
      </c>
      <c r="B39" s="57" t="inlineStr">
        <is>
          <t>Notification/Correspondence Fees: Special Letter (per letter)</t>
        </is>
      </c>
      <c r="C39" s="126" t="n"/>
      <c r="D39" s="127" t="n"/>
      <c r="E39" s="38">
        <f>ROUND(C39*D39,2)</f>
        <v/>
      </c>
      <c r="F39" s="60" t="n"/>
      <c r="G39" s="128">
        <f t="array" ref="G39">SUMPRODUCT(L39:EZ39,--(MOD(COLUMN(L39:EZ39),2)=0))</f>
        <v/>
      </c>
      <c r="H39" s="38">
        <f t="array" ref="H39">SUMPRODUCT(L39:EZ39,MOD(COLUMN(L39:EZ39),2))</f>
        <v/>
      </c>
      <c r="I39" s="129">
        <f>D39-G39</f>
        <v/>
      </c>
      <c r="J39" s="40">
        <f>ROUND(E39,2)-ROUND(H39,2)</f>
        <v/>
      </c>
      <c r="K39" s="116">
        <f>IF(J39=0,"",IF(J39&lt;0,"IMPORTANT:  Over budget - Needs review","Currently at or under budget"))</f>
        <v/>
      </c>
      <c r="L39" s="130" t="n"/>
      <c r="M39" s="40">
        <f>L39*$C39</f>
        <v/>
      </c>
      <c r="N39" s="130" t="n"/>
      <c r="O39" s="40">
        <f>N39*$C39</f>
        <v/>
      </c>
      <c r="P39" s="130" t="n"/>
      <c r="Q39" s="40">
        <f>P39*$C39</f>
        <v/>
      </c>
      <c r="R39" s="130" t="n"/>
      <c r="S39" s="40">
        <f>R39*$C39</f>
        <v/>
      </c>
      <c r="T39" s="130" t="n"/>
      <c r="U39" s="64">
        <f>T39*$C39</f>
        <v/>
      </c>
      <c r="V39" s="130" t="n"/>
      <c r="W39" s="38">
        <f>V39*$C39</f>
        <v/>
      </c>
      <c r="X39" s="130" t="n"/>
      <c r="Y39" s="38">
        <f>X39*$C39</f>
        <v/>
      </c>
      <c r="Z39" s="130" t="n"/>
      <c r="AA39" s="38">
        <f>Z39*$C39</f>
        <v/>
      </c>
      <c r="AB39" s="130" t="n"/>
      <c r="AC39" s="38">
        <f>AB39*$C39</f>
        <v/>
      </c>
      <c r="AD39" s="130" t="n"/>
      <c r="AE39" s="38">
        <f>AD39*$C39</f>
        <v/>
      </c>
      <c r="AF39" s="130" t="n"/>
      <c r="AG39" s="38">
        <f>AF39*$C39</f>
        <v/>
      </c>
      <c r="AH39" s="130" t="n"/>
      <c r="AI39" s="38">
        <f>AH39*$C39</f>
        <v/>
      </c>
      <c r="AJ39" s="130" t="n"/>
      <c r="AK39" s="38">
        <f>AJ39*$C39</f>
        <v/>
      </c>
      <c r="AL39" s="130" t="n"/>
      <c r="AM39" s="38">
        <f>AL39*$C39</f>
        <v/>
      </c>
      <c r="AN39" s="130" t="n"/>
      <c r="AO39" s="38">
        <f>AN39*$C39</f>
        <v/>
      </c>
      <c r="AP39" s="130" t="n"/>
      <c r="AQ39" s="38">
        <f>AP39*$C39</f>
        <v/>
      </c>
      <c r="AR39" s="130" t="n"/>
      <c r="AS39" s="38">
        <f>AR39*$C39</f>
        <v/>
      </c>
      <c r="AT39" s="130" t="n"/>
      <c r="AU39" s="38">
        <f>AT39*$C39</f>
        <v/>
      </c>
      <c r="AV39" s="130" t="n"/>
      <c r="AW39" s="38">
        <f>AV39*$C39</f>
        <v/>
      </c>
      <c r="AX39" s="130" t="n"/>
      <c r="AY39" s="38">
        <f>AX39*$C39</f>
        <v/>
      </c>
    </row>
    <row r="40">
      <c r="A40" s="56" t="inlineStr">
        <is>
          <t>SA02490PRR</t>
        </is>
      </c>
      <c r="B40" s="57" t="inlineStr">
        <is>
          <t>Notification/Correspondence Fees: Print reminder letter/postcard (per reminder)</t>
        </is>
      </c>
      <c r="C40" s="126" t="n">
        <v>0.406</v>
      </c>
      <c r="D40" s="127" t="n">
        <v>127005</v>
      </c>
      <c r="E40" s="38">
        <f>ROUND(C40*D40,2)</f>
        <v/>
      </c>
      <c r="F40" s="60" t="n"/>
      <c r="G40" s="128">
        <f t="array" ref="G40">SUMPRODUCT(L40:EZ40,--(MOD(COLUMN(L40:EZ40),2)=0))</f>
        <v/>
      </c>
      <c r="H40" s="38">
        <f t="array" ref="H40">SUMPRODUCT(L40:EZ40,MOD(COLUMN(L40:EZ40),2))</f>
        <v/>
      </c>
      <c r="I40" s="129">
        <f>D40-G40</f>
        <v/>
      </c>
      <c r="J40" s="40">
        <f>ROUND(E40,2)-ROUND(H40,2)</f>
        <v/>
      </c>
      <c r="K40" s="116">
        <f>IF(J40=0,"",IF(J40&lt;0,"IMPORTANT:  Over budget - Needs review","Currently at or under budget"))</f>
        <v/>
      </c>
      <c r="L40" s="130" t="n"/>
      <c r="M40" s="40">
        <f>L40*$C40</f>
        <v/>
      </c>
      <c r="N40" s="130" t="n"/>
      <c r="O40" s="40">
        <f>N40*$C40</f>
        <v/>
      </c>
      <c r="P40" s="130" t="n"/>
      <c r="Q40" s="40">
        <f>P40*$C40</f>
        <v/>
      </c>
      <c r="R40" s="130" t="n"/>
      <c r="S40" s="40">
        <f>R40*$C40</f>
        <v/>
      </c>
      <c r="T40" s="130" t="n"/>
      <c r="U40" s="64">
        <f>T40*$C40</f>
        <v/>
      </c>
      <c r="V40" s="130" t="n"/>
      <c r="W40" s="38">
        <f>V40*$C40</f>
        <v/>
      </c>
      <c r="X40" s="130" t="n"/>
      <c r="Y40" s="38">
        <f>X40*$C40</f>
        <v/>
      </c>
      <c r="Z40" s="130" t="n"/>
      <c r="AA40" s="38">
        <f>Z40*$C40</f>
        <v/>
      </c>
      <c r="AB40" s="130" t="n"/>
      <c r="AC40" s="38">
        <f>AB40*$C40</f>
        <v/>
      </c>
      <c r="AD40" s="130" t="n"/>
      <c r="AE40" s="38">
        <f>AD40*$C40</f>
        <v/>
      </c>
      <c r="AF40" s="130" t="n"/>
      <c r="AG40" s="38">
        <f>AF40*$C40</f>
        <v/>
      </c>
      <c r="AH40" s="130" t="n"/>
      <c r="AI40" s="38">
        <f>AH40*$C40</f>
        <v/>
      </c>
      <c r="AJ40" s="130" t="n"/>
      <c r="AK40" s="38">
        <f>AJ40*$C40</f>
        <v/>
      </c>
      <c r="AL40" s="130" t="n"/>
      <c r="AM40" s="38">
        <f>AL40*$C40</f>
        <v/>
      </c>
      <c r="AN40" s="130" t="n"/>
      <c r="AO40" s="38">
        <f>AN40*$C40</f>
        <v/>
      </c>
      <c r="AP40" s="130" t="n"/>
      <c r="AQ40" s="38">
        <f>AP40*$C40</f>
        <v/>
      </c>
      <c r="AR40" s="130" t="n"/>
      <c r="AS40" s="38">
        <f>AR40*$C40</f>
        <v/>
      </c>
      <c r="AT40" s="130" t="n"/>
      <c r="AU40" s="38">
        <f>AT40*$C40</f>
        <v/>
      </c>
      <c r="AV40" s="130" t="n"/>
      <c r="AW40" s="38">
        <f>AV40*$C40</f>
        <v/>
      </c>
      <c r="AX40" s="130" t="n"/>
      <c r="AY40" s="38">
        <f>AX40*$C40</f>
        <v/>
      </c>
    </row>
    <row r="41">
      <c r="A41" s="56" t="inlineStr">
        <is>
          <t>SA02530PUP</t>
        </is>
      </c>
      <c r="B41" s="57" t="inlineStr">
        <is>
          <t>Notification/Correspondence Fees: Process undeliverable reminder notices (per piece)</t>
        </is>
      </c>
      <c r="C41" s="126" t="n">
        <v>0.25</v>
      </c>
      <c r="D41" s="127" t="n">
        <v>5969</v>
      </c>
      <c r="E41" s="38">
        <f>ROUND(C41*D41,2)</f>
        <v/>
      </c>
      <c r="F41" s="60" t="n"/>
      <c r="G41" s="128">
        <f t="array" ref="G41">SUMPRODUCT(L41:EZ41,--(MOD(COLUMN(L41:EZ41),2)=0))</f>
        <v/>
      </c>
      <c r="H41" s="38">
        <f t="array" ref="H41">SUMPRODUCT(L41:EZ41,MOD(COLUMN(L41:EZ41),2))</f>
        <v/>
      </c>
      <c r="I41" s="129">
        <f>D41-G41</f>
        <v/>
      </c>
      <c r="J41" s="40">
        <f>ROUND(E41,2)-ROUND(H41,2)</f>
        <v/>
      </c>
      <c r="K41" s="116">
        <f>IF(J41=0,"",IF(J41&lt;0,"IMPORTANT:  Over budget - Needs review","Currently at or under budget"))</f>
        <v/>
      </c>
      <c r="L41" s="130" t="n"/>
      <c r="M41" s="40">
        <f>L41*$C41</f>
        <v/>
      </c>
      <c r="N41" s="130" t="n"/>
      <c r="O41" s="40">
        <f>N41*$C41</f>
        <v/>
      </c>
      <c r="P41" s="130" t="n"/>
      <c r="Q41" s="40">
        <f>P41*$C41</f>
        <v/>
      </c>
      <c r="R41" s="130" t="n"/>
      <c r="S41" s="40">
        <f>R41*$C41</f>
        <v/>
      </c>
      <c r="T41" s="130" t="n"/>
      <c r="U41" s="64">
        <f>T41*$C41</f>
        <v/>
      </c>
      <c r="V41" s="130" t="n"/>
      <c r="W41" s="38">
        <f>V41*$C41</f>
        <v/>
      </c>
      <c r="X41" s="130" t="n"/>
      <c r="Y41" s="38">
        <f>X41*$C41</f>
        <v/>
      </c>
      <c r="Z41" s="130" t="n"/>
      <c r="AA41" s="38">
        <f>Z41*$C41</f>
        <v/>
      </c>
      <c r="AB41" s="130" t="n"/>
      <c r="AC41" s="38">
        <f>AB41*$C41</f>
        <v/>
      </c>
      <c r="AD41" s="130" t="n"/>
      <c r="AE41" s="38">
        <f>AD41*$C41</f>
        <v/>
      </c>
      <c r="AF41" s="130" t="n"/>
      <c r="AG41" s="38">
        <f>AF41*$C41</f>
        <v/>
      </c>
      <c r="AH41" s="130" t="n"/>
      <c r="AI41" s="38">
        <f>AH41*$C41</f>
        <v/>
      </c>
      <c r="AJ41" s="130" t="n"/>
      <c r="AK41" s="38">
        <f>AJ41*$C41</f>
        <v/>
      </c>
      <c r="AL41" s="130" t="n"/>
      <c r="AM41" s="38">
        <f>AL41*$C41</f>
        <v/>
      </c>
      <c r="AN41" s="130" t="n"/>
      <c r="AO41" s="38">
        <f>AN41*$C41</f>
        <v/>
      </c>
      <c r="AP41" s="130" t="n"/>
      <c r="AQ41" s="38">
        <f>AP41*$C41</f>
        <v/>
      </c>
      <c r="AR41" s="130" t="n"/>
      <c r="AS41" s="38">
        <f>AR41*$C41</f>
        <v/>
      </c>
      <c r="AT41" s="130" t="n"/>
      <c r="AU41" s="38">
        <f>AT41*$C41</f>
        <v/>
      </c>
      <c r="AV41" s="130" t="n"/>
      <c r="AW41" s="38">
        <f>AV41*$C41</f>
        <v/>
      </c>
      <c r="AX41" s="130" t="n"/>
      <c r="AY41" s="38">
        <f>AX41*$C41</f>
        <v/>
      </c>
    </row>
    <row r="42">
      <c r="A42" s="56" t="inlineStr">
        <is>
          <t>SA02570GEO</t>
        </is>
      </c>
      <c r="B42" s="57" t="inlineStr">
        <is>
          <t>Notification/Correspondence Fees: Generate email address list (one time fee)</t>
        </is>
      </c>
      <c r="C42" s="126" t="n">
        <v>500</v>
      </c>
      <c r="D42" s="127" t="n">
        <v>1</v>
      </c>
      <c r="E42" s="38">
        <f>ROUND(C42*D42,2)</f>
        <v/>
      </c>
      <c r="F42" s="60" t="n"/>
      <c r="G42" s="128">
        <f t="array" ref="G42">SUMPRODUCT(L42:EZ42,--(MOD(COLUMN(L42:EZ42),2)=0))</f>
        <v/>
      </c>
      <c r="H42" s="38">
        <f t="array" ref="H42">SUMPRODUCT(L42:EZ42,MOD(COLUMN(L42:EZ42),2))</f>
        <v/>
      </c>
      <c r="I42" s="129">
        <f>D42-G42</f>
        <v/>
      </c>
      <c r="J42" s="40">
        <f>ROUND(E42,2)-ROUND(H42,2)</f>
        <v/>
      </c>
      <c r="K42" s="116">
        <f>IF(J42=0,"",IF(J42&lt;0,"IMPORTANT:  Over budget - Needs review","Currently at or under budget"))</f>
        <v/>
      </c>
      <c r="L42" s="130" t="n"/>
      <c r="M42" s="40">
        <f>L42*$C42</f>
        <v/>
      </c>
      <c r="N42" s="130" t="n"/>
      <c r="O42" s="40">
        <f>N42*$C42</f>
        <v/>
      </c>
      <c r="P42" s="130" t="n"/>
      <c r="Q42" s="40">
        <f>P42*$C42</f>
        <v/>
      </c>
      <c r="R42" s="130" t="n"/>
      <c r="S42" s="40">
        <f>R42*$C42</f>
        <v/>
      </c>
      <c r="T42" s="130" t="n"/>
      <c r="U42" s="64">
        <f>T42*$C42</f>
        <v/>
      </c>
      <c r="V42" s="130" t="n"/>
      <c r="W42" s="38">
        <f>V42*$C42</f>
        <v/>
      </c>
      <c r="X42" s="130" t="n"/>
      <c r="Y42" s="38">
        <f>X42*$C42</f>
        <v/>
      </c>
      <c r="Z42" s="130" t="n"/>
      <c r="AA42" s="38">
        <f>Z42*$C42</f>
        <v/>
      </c>
      <c r="AB42" s="130" t="n"/>
      <c r="AC42" s="38">
        <f>AB42*$C42</f>
        <v/>
      </c>
      <c r="AD42" s="130" t="n"/>
      <c r="AE42" s="38">
        <f>AD42*$C42</f>
        <v/>
      </c>
      <c r="AF42" s="130" t="n"/>
      <c r="AG42" s="38">
        <f>AF42*$C42</f>
        <v/>
      </c>
      <c r="AH42" s="130" t="n"/>
      <c r="AI42" s="38">
        <f>AH42*$C42</f>
        <v/>
      </c>
      <c r="AJ42" s="130" t="n"/>
      <c r="AK42" s="38">
        <f>AJ42*$C42</f>
        <v/>
      </c>
      <c r="AL42" s="130" t="n"/>
      <c r="AM42" s="38">
        <f>AL42*$C42</f>
        <v/>
      </c>
      <c r="AN42" s="130" t="n"/>
      <c r="AO42" s="38">
        <f>AN42*$C42</f>
        <v/>
      </c>
      <c r="AP42" s="130" t="n"/>
      <c r="AQ42" s="38">
        <f>AP42*$C42</f>
        <v/>
      </c>
      <c r="AR42" s="130" t="n"/>
      <c r="AS42" s="38">
        <f>AR42*$C42</f>
        <v/>
      </c>
      <c r="AT42" s="130" t="n"/>
      <c r="AU42" s="38">
        <f>AT42*$C42</f>
        <v/>
      </c>
      <c r="AV42" s="130" t="n"/>
      <c r="AW42" s="38">
        <f>AV42*$C42</f>
        <v/>
      </c>
      <c r="AX42" s="130" t="n"/>
      <c r="AY42" s="38">
        <f>AX42*$C42</f>
        <v/>
      </c>
    </row>
    <row r="43">
      <c r="A43" s="56" t="inlineStr">
        <is>
          <t>SA02590ECH</t>
        </is>
      </c>
      <c r="B43" s="57" t="inlineStr">
        <is>
          <t>Notification/Correspondence Fees: Email list cleanse and hygiene (one time)</t>
        </is>
      </c>
      <c r="C43" s="126" t="n">
        <v>2250</v>
      </c>
      <c r="D43" s="127" t="n">
        <v>1</v>
      </c>
      <c r="E43" s="38">
        <f>ROUND(C43*D43,2)</f>
        <v/>
      </c>
      <c r="F43" s="60" t="n"/>
      <c r="G43" s="128">
        <f t="array" ref="G43">SUMPRODUCT(L43:EZ43,--(MOD(COLUMN(L43:EZ43),2)=0))</f>
        <v/>
      </c>
      <c r="H43" s="38">
        <f t="array" ref="H43">SUMPRODUCT(L43:EZ43,MOD(COLUMN(L43:EZ43),2))</f>
        <v/>
      </c>
      <c r="I43" s="129">
        <f>D43-G43</f>
        <v/>
      </c>
      <c r="J43" s="40">
        <f>ROUND(E43,2)-ROUND(H43,2)</f>
        <v/>
      </c>
      <c r="K43" s="116">
        <f>IF(J43=0,"",IF(J43&lt;0,"IMPORTANT:  Over budget - Needs review","Currently at or under budget"))</f>
        <v/>
      </c>
      <c r="L43" s="130" t="n"/>
      <c r="M43" s="40">
        <f>L43*$C43</f>
        <v/>
      </c>
      <c r="N43" s="130" t="n"/>
      <c r="O43" s="40">
        <f>N43*$C43</f>
        <v/>
      </c>
      <c r="P43" s="130" t="n"/>
      <c r="Q43" s="40">
        <f>P43*$C43</f>
        <v/>
      </c>
      <c r="R43" s="130" t="n"/>
      <c r="S43" s="40">
        <f>R43*$C43</f>
        <v/>
      </c>
      <c r="T43" s="130" t="n"/>
      <c r="U43" s="64">
        <f>T43*$C43</f>
        <v/>
      </c>
      <c r="V43" s="130" t="n"/>
      <c r="W43" s="38">
        <f>V43*$C43</f>
        <v/>
      </c>
      <c r="X43" s="130" t="n"/>
      <c r="Y43" s="38">
        <f>X43*$C43</f>
        <v/>
      </c>
      <c r="Z43" s="130" t="n"/>
      <c r="AA43" s="38">
        <f>Z43*$C43</f>
        <v/>
      </c>
      <c r="AB43" s="130" t="n"/>
      <c r="AC43" s="38">
        <f>AB43*$C43</f>
        <v/>
      </c>
      <c r="AD43" s="130" t="n"/>
      <c r="AE43" s="38">
        <f>AD43*$C43</f>
        <v/>
      </c>
      <c r="AF43" s="130" t="n"/>
      <c r="AG43" s="38">
        <f>AF43*$C43</f>
        <v/>
      </c>
      <c r="AH43" s="130" t="n"/>
      <c r="AI43" s="38">
        <f>AH43*$C43</f>
        <v/>
      </c>
      <c r="AJ43" s="130" t="n"/>
      <c r="AK43" s="38">
        <f>AJ43*$C43</f>
        <v/>
      </c>
      <c r="AL43" s="130" t="n"/>
      <c r="AM43" s="38">
        <f>AL43*$C43</f>
        <v/>
      </c>
      <c r="AN43" s="130" t="n"/>
      <c r="AO43" s="38">
        <f>AN43*$C43</f>
        <v/>
      </c>
      <c r="AP43" s="130" t="n"/>
      <c r="AQ43" s="38">
        <f>AP43*$C43</f>
        <v/>
      </c>
      <c r="AR43" s="130" t="n"/>
      <c r="AS43" s="38">
        <f>AR43*$C43</f>
        <v/>
      </c>
      <c r="AT43" s="130" t="n"/>
      <c r="AU43" s="38">
        <f>AT43*$C43</f>
        <v/>
      </c>
      <c r="AV43" s="130" t="n"/>
      <c r="AW43" s="38">
        <f>AV43*$C43</f>
        <v/>
      </c>
      <c r="AX43" s="130" t="n"/>
      <c r="AY43" s="38">
        <f>AX43*$C43</f>
        <v/>
      </c>
    </row>
    <row r="44">
      <c r="A44" s="56" t="inlineStr">
        <is>
          <t>SA02600AEL</t>
        </is>
      </c>
      <c r="B44" s="57" t="inlineStr">
        <is>
          <t>Notification/Correspondence Fees: Additional Email list cleanse and hygiene (one time)</t>
        </is>
      </c>
      <c r="C44" s="126" t="n"/>
      <c r="D44" s="127" t="n"/>
      <c r="E44" s="38">
        <f>ROUND(C44*D44,2)</f>
        <v/>
      </c>
      <c r="F44" s="60" t="n"/>
      <c r="G44" s="128">
        <f t="array" ref="G44">SUMPRODUCT(L44:EZ44,--(MOD(COLUMN(L44:EZ44),2)=0))</f>
        <v/>
      </c>
      <c r="H44" s="38">
        <f t="array" ref="H44">SUMPRODUCT(L44:EZ44,MOD(COLUMN(L44:EZ44),2))</f>
        <v/>
      </c>
      <c r="I44" s="129">
        <f>D44-G44</f>
        <v/>
      </c>
      <c r="J44" s="40">
        <f>ROUND(E44,2)-ROUND(H44,2)</f>
        <v/>
      </c>
      <c r="K44" s="116">
        <f>IF(J44=0,"",IF(J44&lt;0,"IMPORTANT:  Over budget - Needs review","Currently at or under budget"))</f>
        <v/>
      </c>
      <c r="L44" s="130" t="n"/>
      <c r="M44" s="40">
        <f>L44*$C44</f>
        <v/>
      </c>
      <c r="N44" s="130" t="n"/>
      <c r="O44" s="40">
        <f>N44*$C44</f>
        <v/>
      </c>
      <c r="P44" s="130" t="n"/>
      <c r="Q44" s="40">
        <f>P44*$C44</f>
        <v/>
      </c>
      <c r="R44" s="130" t="n"/>
      <c r="S44" s="40">
        <f>R44*$C44</f>
        <v/>
      </c>
      <c r="T44" s="130" t="n"/>
      <c r="U44" s="64">
        <f>T44*$C44</f>
        <v/>
      </c>
      <c r="V44" s="130" t="n"/>
      <c r="W44" s="38">
        <f>V44*$C44</f>
        <v/>
      </c>
      <c r="X44" s="130" t="n"/>
      <c r="Y44" s="38">
        <f>X44*$C44</f>
        <v/>
      </c>
      <c r="Z44" s="130" t="n"/>
      <c r="AA44" s="38">
        <f>Z44*$C44</f>
        <v/>
      </c>
      <c r="AB44" s="130" t="n"/>
      <c r="AC44" s="38">
        <f>AB44*$C44</f>
        <v/>
      </c>
      <c r="AD44" s="130" t="n"/>
      <c r="AE44" s="38">
        <f>AD44*$C44</f>
        <v/>
      </c>
      <c r="AF44" s="130" t="n"/>
      <c r="AG44" s="38">
        <f>AF44*$C44</f>
        <v/>
      </c>
      <c r="AH44" s="130" t="n"/>
      <c r="AI44" s="38">
        <f>AH44*$C44</f>
        <v/>
      </c>
      <c r="AJ44" s="130" t="n"/>
      <c r="AK44" s="38">
        <f>AJ44*$C44</f>
        <v/>
      </c>
      <c r="AL44" s="130" t="n"/>
      <c r="AM44" s="38">
        <f>AL44*$C44</f>
        <v/>
      </c>
      <c r="AN44" s="130" t="n"/>
      <c r="AO44" s="38">
        <f>AN44*$C44</f>
        <v/>
      </c>
      <c r="AP44" s="130" t="n"/>
      <c r="AQ44" s="38">
        <f>AP44*$C44</f>
        <v/>
      </c>
      <c r="AR44" s="130" t="n"/>
      <c r="AS44" s="38">
        <f>AR44*$C44</f>
        <v/>
      </c>
      <c r="AT44" s="130" t="n"/>
      <c r="AU44" s="38">
        <f>AT44*$C44</f>
        <v/>
      </c>
      <c r="AV44" s="130" t="n"/>
      <c r="AW44" s="38">
        <f>AV44*$C44</f>
        <v/>
      </c>
      <c r="AX44" s="130" t="n"/>
      <c r="AY44" s="38">
        <f>AX44*$C44</f>
        <v/>
      </c>
    </row>
    <row r="45">
      <c r="A45" s="56" t="inlineStr">
        <is>
          <t>SA02610RIE</t>
        </is>
      </c>
      <c r="B45" s="57" t="inlineStr">
        <is>
          <t>Notification/Correspondence Fees: Prepare and Release initial email campaign 1</t>
        </is>
      </c>
      <c r="C45" s="126" t="n">
        <v>0.005</v>
      </c>
      <c r="D45" s="127" t="n">
        <v>1613700</v>
      </c>
      <c r="E45" s="38">
        <f>ROUND(C45*D45,2)</f>
        <v/>
      </c>
      <c r="F45" s="60" t="n"/>
      <c r="G45" s="128">
        <f t="array" ref="G45">SUMPRODUCT(L45:EZ45,--(MOD(COLUMN(L45:EZ45),2)=0))</f>
        <v/>
      </c>
      <c r="H45" s="38">
        <f t="array" ref="H45">SUMPRODUCT(L45:EZ45,MOD(COLUMN(L45:EZ45),2))</f>
        <v/>
      </c>
      <c r="I45" s="129">
        <f>D45-G45</f>
        <v/>
      </c>
      <c r="J45" s="40">
        <f>ROUND(E45,2)-ROUND(H45,2)</f>
        <v/>
      </c>
      <c r="K45" s="116">
        <f>IF(J45=0,"",IF(J45&lt;0,"IMPORTANT:  Over budget - Needs review","Currently at or under budget"))</f>
        <v/>
      </c>
      <c r="L45" s="130" t="n"/>
      <c r="M45" s="40">
        <f>L45*$C45</f>
        <v/>
      </c>
      <c r="N45" s="130" t="n"/>
      <c r="O45" s="40">
        <f>N45*$C45</f>
        <v/>
      </c>
      <c r="P45" s="130" t="n"/>
      <c r="Q45" s="40">
        <f>P45*$C45</f>
        <v/>
      </c>
      <c r="R45" s="130" t="n"/>
      <c r="S45" s="40">
        <f>R45*$C45</f>
        <v/>
      </c>
      <c r="T45" s="130" t="n"/>
      <c r="U45" s="64">
        <f>T45*$C45</f>
        <v/>
      </c>
      <c r="V45" s="130" t="n"/>
      <c r="W45" s="38">
        <f>V45*$C45</f>
        <v/>
      </c>
      <c r="X45" s="130" t="n"/>
      <c r="Y45" s="38">
        <f>X45*$C45</f>
        <v/>
      </c>
      <c r="Z45" s="130" t="n"/>
      <c r="AA45" s="38">
        <f>Z45*$C45</f>
        <v/>
      </c>
      <c r="AB45" s="130" t="n"/>
      <c r="AC45" s="38">
        <f>AB45*$C45</f>
        <v/>
      </c>
      <c r="AD45" s="130" t="n"/>
      <c r="AE45" s="38">
        <f>AD45*$C45</f>
        <v/>
      </c>
      <c r="AF45" s="130" t="n"/>
      <c r="AG45" s="38">
        <f>AF45*$C45</f>
        <v/>
      </c>
      <c r="AH45" s="130" t="n"/>
      <c r="AI45" s="38">
        <f>AH45*$C45</f>
        <v/>
      </c>
      <c r="AJ45" s="130" t="n"/>
      <c r="AK45" s="38">
        <f>AJ45*$C45</f>
        <v/>
      </c>
      <c r="AL45" s="130" t="n"/>
      <c r="AM45" s="38">
        <f>AL45*$C45</f>
        <v/>
      </c>
      <c r="AN45" s="130" t="n"/>
      <c r="AO45" s="38">
        <f>AN45*$C45</f>
        <v/>
      </c>
      <c r="AP45" s="130" t="n"/>
      <c r="AQ45" s="38">
        <f>AP45*$C45</f>
        <v/>
      </c>
      <c r="AR45" s="130" t="n"/>
      <c r="AS45" s="38">
        <f>AR45*$C45</f>
        <v/>
      </c>
      <c r="AT45" s="130" t="n"/>
      <c r="AU45" s="38">
        <f>AT45*$C45</f>
        <v/>
      </c>
      <c r="AV45" s="130" t="n"/>
      <c r="AW45" s="38">
        <f>AV45*$C45</f>
        <v/>
      </c>
      <c r="AX45" s="130" t="n"/>
      <c r="AY45" s="38">
        <f>AX45*$C45</f>
        <v/>
      </c>
    </row>
    <row r="46">
      <c r="A46" s="56" t="inlineStr">
        <is>
          <t>SA02650RIE</t>
        </is>
      </c>
      <c r="B46" s="57" t="inlineStr">
        <is>
          <t>Notification/Correspondence Fees: Prepare and Release initial email campaign 2</t>
        </is>
      </c>
      <c r="C46" s="126" t="n"/>
      <c r="D46" s="127" t="n"/>
      <c r="E46" s="38">
        <f>ROUND(C46*D46,2)</f>
        <v/>
      </c>
      <c r="F46" s="60" t="n"/>
      <c r="G46" s="128">
        <f t="array" ref="G46">SUMPRODUCT(L46:EZ46,--(MOD(COLUMN(L46:EZ46),2)=0))</f>
        <v/>
      </c>
      <c r="H46" s="38">
        <f t="array" ref="H46">SUMPRODUCT(L46:EZ46,MOD(COLUMN(L46:EZ46),2))</f>
        <v/>
      </c>
      <c r="I46" s="129">
        <f>D46-G46</f>
        <v/>
      </c>
      <c r="J46" s="40">
        <f>ROUND(E46,2)-ROUND(H46,2)</f>
        <v/>
      </c>
      <c r="K46" s="116">
        <f>IF(J46=0,"",IF(J46&lt;0,"IMPORTANT:  Over budget - Needs review","Currently at or under budget"))</f>
        <v/>
      </c>
      <c r="L46" s="130" t="n"/>
      <c r="M46" s="40">
        <f>L46*$C46</f>
        <v/>
      </c>
      <c r="N46" s="130" t="n"/>
      <c r="O46" s="40">
        <f>N46*$C46</f>
        <v/>
      </c>
      <c r="P46" s="130" t="n"/>
      <c r="Q46" s="40">
        <f>P46*$C46</f>
        <v/>
      </c>
      <c r="R46" s="130" t="n"/>
      <c r="S46" s="40">
        <f>R46*$C46</f>
        <v/>
      </c>
      <c r="T46" s="130" t="n"/>
      <c r="U46" s="64">
        <f>T46*$C46</f>
        <v/>
      </c>
      <c r="V46" s="130" t="n"/>
      <c r="W46" s="38">
        <f>V46*$C46</f>
        <v/>
      </c>
      <c r="X46" s="130" t="n"/>
      <c r="Y46" s="38">
        <f>X46*$C46</f>
        <v/>
      </c>
      <c r="Z46" s="130" t="n"/>
      <c r="AA46" s="38">
        <f>Z46*$C46</f>
        <v/>
      </c>
      <c r="AB46" s="130" t="n"/>
      <c r="AC46" s="38">
        <f>AB46*$C46</f>
        <v/>
      </c>
      <c r="AD46" s="130" t="n"/>
      <c r="AE46" s="38">
        <f>AD46*$C46</f>
        <v/>
      </c>
      <c r="AF46" s="130" t="n"/>
      <c r="AG46" s="38">
        <f>AF46*$C46</f>
        <v/>
      </c>
      <c r="AH46" s="130" t="n"/>
      <c r="AI46" s="38">
        <f>AH46*$C46</f>
        <v/>
      </c>
      <c r="AJ46" s="130" t="n"/>
      <c r="AK46" s="38">
        <f>AJ46*$C46</f>
        <v/>
      </c>
      <c r="AL46" s="130" t="n"/>
      <c r="AM46" s="38">
        <f>AL46*$C46</f>
        <v/>
      </c>
      <c r="AN46" s="130" t="n"/>
      <c r="AO46" s="38">
        <f>AN46*$C46</f>
        <v/>
      </c>
      <c r="AP46" s="130" t="n"/>
      <c r="AQ46" s="38">
        <f>AP46*$C46</f>
        <v/>
      </c>
      <c r="AR46" s="130" t="n"/>
      <c r="AS46" s="38">
        <f>AR46*$C46</f>
        <v/>
      </c>
      <c r="AT46" s="130" t="n"/>
      <c r="AU46" s="38">
        <f>AT46*$C46</f>
        <v/>
      </c>
      <c r="AV46" s="130" t="n"/>
      <c r="AW46" s="38">
        <f>AV46*$C46</f>
        <v/>
      </c>
      <c r="AX46" s="130" t="n"/>
      <c r="AY46" s="38">
        <f>AX46*$C46</f>
        <v/>
      </c>
    </row>
    <row r="47">
      <c r="A47" s="56" t="inlineStr">
        <is>
          <t>SA02650RIO</t>
        </is>
      </c>
      <c r="B47" s="57" t="inlineStr">
        <is>
          <t>Notification/Correspondence Fees: Prepare and Release initial email blast (one time fee)</t>
        </is>
      </c>
      <c r="C47" s="126" t="n"/>
      <c r="D47" s="127" t="n"/>
      <c r="E47" s="38">
        <f>ROUND(C47*D47,2)</f>
        <v/>
      </c>
      <c r="F47" s="60" t="n"/>
      <c r="G47" s="128">
        <f t="array" ref="G47">SUMPRODUCT(L47:EZ47,--(MOD(COLUMN(L47:EZ47),2)=0))</f>
        <v/>
      </c>
      <c r="H47" s="38">
        <f t="array" ref="H47">SUMPRODUCT(L47:EZ47,MOD(COLUMN(L47:EZ47),2))</f>
        <v/>
      </c>
      <c r="I47" s="129">
        <f>D47-G47</f>
        <v/>
      </c>
      <c r="J47" s="40">
        <f>ROUND(E47,2)-ROUND(H47,2)</f>
        <v/>
      </c>
      <c r="K47" s="116">
        <f>IF(J47=0,"",IF(J47&lt;0,"IMPORTANT:  Over budget - Needs review","Currently at or under budget"))</f>
        <v/>
      </c>
      <c r="L47" s="130" t="n"/>
      <c r="M47" s="40">
        <f>L47*$C47</f>
        <v/>
      </c>
      <c r="N47" s="130" t="n"/>
      <c r="O47" s="40">
        <f>N47*$C47</f>
        <v/>
      </c>
      <c r="P47" s="130" t="n"/>
      <c r="Q47" s="40">
        <f>P47*$C47</f>
        <v/>
      </c>
      <c r="R47" s="130" t="n"/>
      <c r="S47" s="40">
        <f>R47*$C47</f>
        <v/>
      </c>
      <c r="T47" s="130" t="n"/>
      <c r="U47" s="64">
        <f>T47*$C47</f>
        <v/>
      </c>
      <c r="V47" s="130" t="n"/>
      <c r="W47" s="38">
        <f>V47*$C47</f>
        <v/>
      </c>
      <c r="X47" s="130" t="n"/>
      <c r="Y47" s="38">
        <f>X47*$C47</f>
        <v/>
      </c>
      <c r="Z47" s="130" t="n"/>
      <c r="AA47" s="38">
        <f>Z47*$C47</f>
        <v/>
      </c>
      <c r="AB47" s="130" t="n"/>
      <c r="AC47" s="38">
        <f>AB47*$C47</f>
        <v/>
      </c>
      <c r="AD47" s="130" t="n"/>
      <c r="AE47" s="38">
        <f>AD47*$C47</f>
        <v/>
      </c>
      <c r="AF47" s="130" t="n"/>
      <c r="AG47" s="38">
        <f>AF47*$C47</f>
        <v/>
      </c>
      <c r="AH47" s="130" t="n"/>
      <c r="AI47" s="38">
        <f>AH47*$C47</f>
        <v/>
      </c>
      <c r="AJ47" s="130" t="n"/>
      <c r="AK47" s="38">
        <f>AJ47*$C47</f>
        <v/>
      </c>
      <c r="AL47" s="130" t="n"/>
      <c r="AM47" s="38">
        <f>AL47*$C47</f>
        <v/>
      </c>
      <c r="AN47" s="130" t="n"/>
      <c r="AO47" s="38">
        <f>AN47*$C47</f>
        <v/>
      </c>
      <c r="AP47" s="130" t="n"/>
      <c r="AQ47" s="38">
        <f>AP47*$C47</f>
        <v/>
      </c>
      <c r="AR47" s="130" t="n"/>
      <c r="AS47" s="38">
        <f>AR47*$C47</f>
        <v/>
      </c>
      <c r="AT47" s="130" t="n"/>
      <c r="AU47" s="38">
        <f>AT47*$C47</f>
        <v/>
      </c>
      <c r="AV47" s="130" t="n"/>
      <c r="AW47" s="38">
        <f>AV47*$C47</f>
        <v/>
      </c>
      <c r="AX47" s="130" t="n"/>
      <c r="AY47" s="38">
        <f>AX47*$C47</f>
        <v/>
      </c>
    </row>
    <row r="48">
      <c r="A48" s="56" t="inlineStr">
        <is>
          <t>SA02690STE</t>
        </is>
      </c>
      <c r="B48" s="57" t="inlineStr">
        <is>
          <t>Notification/Correspondence Fees: Advance email address search (per bounced email)</t>
        </is>
      </c>
      <c r="C48" s="126" t="n"/>
      <c r="D48" s="127" t="n"/>
      <c r="E48" s="38">
        <f>ROUND(C48*D48,2)</f>
        <v/>
      </c>
      <c r="F48" s="60" t="n"/>
      <c r="G48" s="128">
        <f t="array" ref="G48">SUMPRODUCT(L48:EZ48,--(MOD(COLUMN(L48:EZ48),2)=0))</f>
        <v/>
      </c>
      <c r="H48" s="38">
        <f t="array" ref="H48">SUMPRODUCT(L48:EZ48,MOD(COLUMN(L48:EZ48),2))</f>
        <v/>
      </c>
      <c r="I48" s="129">
        <f>D48-G48</f>
        <v/>
      </c>
      <c r="J48" s="40">
        <f>ROUND(E48,2)-ROUND(H48,2)</f>
        <v/>
      </c>
      <c r="K48" s="116">
        <f>IF(J48=0,"",IF(J48&lt;0,"IMPORTANT:  Over budget - Needs review","Currently at or under budget"))</f>
        <v/>
      </c>
      <c r="L48" s="130" t="n"/>
      <c r="M48" s="40">
        <f>L48*$C48</f>
        <v/>
      </c>
      <c r="N48" s="130" t="n"/>
      <c r="O48" s="40">
        <f>N48*$C48</f>
        <v/>
      </c>
      <c r="P48" s="130" t="n"/>
      <c r="Q48" s="40">
        <f>P48*$C48</f>
        <v/>
      </c>
      <c r="R48" s="130" t="n"/>
      <c r="S48" s="40">
        <f>R48*$C48</f>
        <v/>
      </c>
      <c r="T48" s="130" t="n"/>
      <c r="U48" s="64">
        <f>T48*$C48</f>
        <v/>
      </c>
      <c r="V48" s="130" t="n"/>
      <c r="W48" s="38">
        <f>V48*$C48</f>
        <v/>
      </c>
      <c r="X48" s="130" t="n"/>
      <c r="Y48" s="38">
        <f>X48*$C48</f>
        <v/>
      </c>
      <c r="Z48" s="130" t="n"/>
      <c r="AA48" s="38">
        <f>Z48*$C48</f>
        <v/>
      </c>
      <c r="AB48" s="130" t="n"/>
      <c r="AC48" s="38">
        <f>AB48*$C48</f>
        <v/>
      </c>
      <c r="AD48" s="130" t="n"/>
      <c r="AE48" s="38">
        <f>AD48*$C48</f>
        <v/>
      </c>
      <c r="AF48" s="130" t="n"/>
      <c r="AG48" s="38">
        <f>AF48*$C48</f>
        <v/>
      </c>
      <c r="AH48" s="130" t="n"/>
      <c r="AI48" s="38">
        <f>AH48*$C48</f>
        <v/>
      </c>
      <c r="AJ48" s="130" t="n"/>
      <c r="AK48" s="38">
        <f>AJ48*$C48</f>
        <v/>
      </c>
      <c r="AL48" s="130" t="n"/>
      <c r="AM48" s="38">
        <f>AL48*$C48</f>
        <v/>
      </c>
      <c r="AN48" s="130" t="n"/>
      <c r="AO48" s="38">
        <f>AN48*$C48</f>
        <v/>
      </c>
      <c r="AP48" s="130" t="n"/>
      <c r="AQ48" s="38">
        <f>AP48*$C48</f>
        <v/>
      </c>
      <c r="AR48" s="130" t="n"/>
      <c r="AS48" s="38">
        <f>AR48*$C48</f>
        <v/>
      </c>
      <c r="AT48" s="130" t="n"/>
      <c r="AU48" s="38">
        <f>AT48*$C48</f>
        <v/>
      </c>
      <c r="AV48" s="130" t="n"/>
      <c r="AW48" s="38">
        <f>AV48*$C48</f>
        <v/>
      </c>
      <c r="AX48" s="130" t="n"/>
      <c r="AY48" s="38">
        <f>AX48*$C48</f>
        <v/>
      </c>
    </row>
    <row r="49">
      <c r="A49" s="56" t="inlineStr">
        <is>
          <t>SA02730GSO</t>
        </is>
      </c>
      <c r="B49" s="57" t="inlineStr">
        <is>
          <t>Notification/Correspondence Fees: Generate supplemental list of email addresses (one time fee)</t>
        </is>
      </c>
      <c r="C49" s="126" t="n">
        <v>450</v>
      </c>
      <c r="D49" s="127" t="n">
        <v>1</v>
      </c>
      <c r="E49" s="38">
        <f>ROUND(C49*D49,2)</f>
        <v/>
      </c>
      <c r="F49" s="60" t="n"/>
      <c r="G49" s="128">
        <f t="array" ref="G49">SUMPRODUCT(L49:EZ49,--(MOD(COLUMN(L49:EZ49),2)=0))</f>
        <v/>
      </c>
      <c r="H49" s="38">
        <f t="array" ref="H49">SUMPRODUCT(L49:EZ49,MOD(COLUMN(L49:EZ49),2))</f>
        <v/>
      </c>
      <c r="I49" s="129">
        <f>D49-G49</f>
        <v/>
      </c>
      <c r="J49" s="40">
        <f>ROUND(E49,2)-ROUND(H49,2)</f>
        <v/>
      </c>
      <c r="K49" s="116">
        <f>IF(J49=0,"",IF(J49&lt;0,"IMPORTANT:  Over budget - Needs review","Currently at or under budget"))</f>
        <v/>
      </c>
      <c r="L49" s="130" t="n"/>
      <c r="M49" s="40">
        <f>L49*$C49</f>
        <v/>
      </c>
      <c r="N49" s="130" t="n"/>
      <c r="O49" s="40">
        <f>N49*$C49</f>
        <v/>
      </c>
      <c r="P49" s="130" t="n"/>
      <c r="Q49" s="40">
        <f>P49*$C49</f>
        <v/>
      </c>
      <c r="R49" s="130" t="n"/>
      <c r="S49" s="40">
        <f>R49*$C49</f>
        <v/>
      </c>
      <c r="T49" s="130" t="n"/>
      <c r="U49" s="64">
        <f>T49*$C49</f>
        <v/>
      </c>
      <c r="V49" s="130" t="n"/>
      <c r="W49" s="38">
        <f>V49*$C49</f>
        <v/>
      </c>
      <c r="X49" s="130" t="n"/>
      <c r="Y49" s="38">
        <f>X49*$C49</f>
        <v/>
      </c>
      <c r="Z49" s="130" t="n"/>
      <c r="AA49" s="38">
        <f>Z49*$C49</f>
        <v/>
      </c>
      <c r="AB49" s="130" t="n"/>
      <c r="AC49" s="38">
        <f>AB49*$C49</f>
        <v/>
      </c>
      <c r="AD49" s="130" t="n"/>
      <c r="AE49" s="38">
        <f>AD49*$C49</f>
        <v/>
      </c>
      <c r="AF49" s="130" t="n"/>
      <c r="AG49" s="38">
        <f>AF49*$C49</f>
        <v/>
      </c>
      <c r="AH49" s="130" t="n"/>
      <c r="AI49" s="38">
        <f>AH49*$C49</f>
        <v/>
      </c>
      <c r="AJ49" s="130" t="n"/>
      <c r="AK49" s="38">
        <f>AJ49*$C49</f>
        <v/>
      </c>
      <c r="AL49" s="130" t="n"/>
      <c r="AM49" s="38">
        <f>AL49*$C49</f>
        <v/>
      </c>
      <c r="AN49" s="130" t="n"/>
      <c r="AO49" s="38">
        <f>AN49*$C49</f>
        <v/>
      </c>
      <c r="AP49" s="130" t="n"/>
      <c r="AQ49" s="38">
        <f>AP49*$C49</f>
        <v/>
      </c>
      <c r="AR49" s="130" t="n"/>
      <c r="AS49" s="38">
        <f>AR49*$C49</f>
        <v/>
      </c>
      <c r="AT49" s="130" t="n"/>
      <c r="AU49" s="38">
        <f>AT49*$C49</f>
        <v/>
      </c>
      <c r="AV49" s="130" t="n"/>
      <c r="AW49" s="38">
        <f>AV49*$C49</f>
        <v/>
      </c>
      <c r="AX49" s="130" t="n"/>
      <c r="AY49" s="38">
        <f>AX49*$C49</f>
        <v/>
      </c>
    </row>
    <row r="50">
      <c r="A50" s="56" t="inlineStr">
        <is>
          <t>SA02770RSE</t>
        </is>
      </c>
      <c r="B50" s="57" t="inlineStr">
        <is>
          <t>Notification/Correspondence Fees: Prepare and Release initial email campaign 3</t>
        </is>
      </c>
      <c r="C50" s="126" t="n"/>
      <c r="D50" s="127" t="n"/>
      <c r="E50" s="38">
        <f>ROUND(C50*D50,2)</f>
        <v/>
      </c>
      <c r="F50" s="60" t="n"/>
      <c r="G50" s="128">
        <f t="array" ref="G50">SUMPRODUCT(L50:EZ50,--(MOD(COLUMN(L50:EZ50),2)=0))</f>
        <v/>
      </c>
      <c r="H50" s="38">
        <f t="array" ref="H50">SUMPRODUCT(L50:EZ50,MOD(COLUMN(L50:EZ50),2))</f>
        <v/>
      </c>
      <c r="I50" s="129">
        <f>D50-G50</f>
        <v/>
      </c>
      <c r="J50" s="40">
        <f>ROUND(E50,2)-ROUND(H50,2)</f>
        <v/>
      </c>
      <c r="K50" s="116">
        <f>IF(J50=0,"",IF(J50&lt;0,"IMPORTANT:  Over budget - Needs review","Currently at or under budget"))</f>
        <v/>
      </c>
      <c r="L50" s="130" t="n"/>
      <c r="M50" s="40">
        <f>L50*$C50</f>
        <v/>
      </c>
      <c r="N50" s="130" t="n"/>
      <c r="O50" s="40">
        <f>N50*$C50</f>
        <v/>
      </c>
      <c r="P50" s="130" t="n"/>
      <c r="Q50" s="40">
        <f>P50*$C50</f>
        <v/>
      </c>
      <c r="R50" s="130" t="n"/>
      <c r="S50" s="40">
        <f>R50*$C50</f>
        <v/>
      </c>
      <c r="T50" s="130" t="n"/>
      <c r="U50" s="64">
        <f>T50*$C50</f>
        <v/>
      </c>
      <c r="V50" s="130" t="n"/>
      <c r="W50" s="38">
        <f>V50*$C50</f>
        <v/>
      </c>
      <c r="X50" s="130" t="n"/>
      <c r="Y50" s="38">
        <f>X50*$C50</f>
        <v/>
      </c>
      <c r="Z50" s="130" t="n"/>
      <c r="AA50" s="38">
        <f>Z50*$C50</f>
        <v/>
      </c>
      <c r="AB50" s="130" t="n"/>
      <c r="AC50" s="38">
        <f>AB50*$C50</f>
        <v/>
      </c>
      <c r="AD50" s="130" t="n"/>
      <c r="AE50" s="38">
        <f>AD50*$C50</f>
        <v/>
      </c>
      <c r="AF50" s="130" t="n"/>
      <c r="AG50" s="38">
        <f>AF50*$C50</f>
        <v/>
      </c>
      <c r="AH50" s="130" t="n"/>
      <c r="AI50" s="38">
        <f>AH50*$C50</f>
        <v/>
      </c>
      <c r="AJ50" s="130" t="n"/>
      <c r="AK50" s="38">
        <f>AJ50*$C50</f>
        <v/>
      </c>
      <c r="AL50" s="130" t="n"/>
      <c r="AM50" s="38">
        <f>AL50*$C50</f>
        <v/>
      </c>
      <c r="AN50" s="130" t="n"/>
      <c r="AO50" s="38">
        <f>AN50*$C50</f>
        <v/>
      </c>
      <c r="AP50" s="130" t="n"/>
      <c r="AQ50" s="38">
        <f>AP50*$C50</f>
        <v/>
      </c>
      <c r="AR50" s="130" t="n"/>
      <c r="AS50" s="38">
        <f>AR50*$C50</f>
        <v/>
      </c>
      <c r="AT50" s="130" t="n"/>
      <c r="AU50" s="38">
        <f>AT50*$C50</f>
        <v/>
      </c>
      <c r="AV50" s="130" t="n"/>
      <c r="AW50" s="38">
        <f>AV50*$C50</f>
        <v/>
      </c>
      <c r="AX50" s="130" t="n"/>
      <c r="AY50" s="38">
        <f>AX50*$C50</f>
        <v/>
      </c>
    </row>
    <row r="51">
      <c r="A51" s="56" t="inlineStr">
        <is>
          <t>SA02810RSE</t>
        </is>
      </c>
      <c r="B51" s="57" t="inlineStr">
        <is>
          <t>Notification/Correspondence Fees: Prepare and Release initial email campaign 4</t>
        </is>
      </c>
      <c r="C51" s="126" t="n"/>
      <c r="D51" s="127" t="n"/>
      <c r="E51" s="38">
        <f>ROUND(C51*D51,2)</f>
        <v/>
      </c>
      <c r="F51" s="60" t="n"/>
      <c r="G51" s="128">
        <f t="array" ref="G51">SUMPRODUCT(L51:EZ51,--(MOD(COLUMN(L51:EZ51),2)=0))</f>
        <v/>
      </c>
      <c r="H51" s="38">
        <f t="array" ref="H51">SUMPRODUCT(L51:EZ51,MOD(COLUMN(L51:EZ51),2))</f>
        <v/>
      </c>
      <c r="I51" s="129">
        <f>D51-G51</f>
        <v/>
      </c>
      <c r="J51" s="40">
        <f>ROUND(E51,2)-ROUND(H51,2)</f>
        <v/>
      </c>
      <c r="K51" s="116">
        <f>IF(J51=0,"",IF(J51&lt;0,"IMPORTANT:  Over budget - Needs review","Currently at or under budget"))</f>
        <v/>
      </c>
      <c r="L51" s="130" t="n"/>
      <c r="M51" s="40">
        <f>L51*$C51</f>
        <v/>
      </c>
      <c r="N51" s="130" t="n"/>
      <c r="O51" s="40">
        <f>N51*$C51</f>
        <v/>
      </c>
      <c r="P51" s="130" t="n"/>
      <c r="Q51" s="40">
        <f>P51*$C51</f>
        <v/>
      </c>
      <c r="R51" s="130" t="n"/>
      <c r="S51" s="40">
        <f>R51*$C51</f>
        <v/>
      </c>
      <c r="T51" s="130" t="n"/>
      <c r="U51" s="64">
        <f>T51*$C51</f>
        <v/>
      </c>
      <c r="V51" s="130" t="n"/>
      <c r="W51" s="38">
        <f>V51*$C51</f>
        <v/>
      </c>
      <c r="X51" s="130" t="n"/>
      <c r="Y51" s="38">
        <f>X51*$C51</f>
        <v/>
      </c>
      <c r="Z51" s="130" t="n"/>
      <c r="AA51" s="38">
        <f>Z51*$C51</f>
        <v/>
      </c>
      <c r="AB51" s="130" t="n"/>
      <c r="AC51" s="38">
        <f>AB51*$C51</f>
        <v/>
      </c>
      <c r="AD51" s="130" t="n"/>
      <c r="AE51" s="38">
        <f>AD51*$C51</f>
        <v/>
      </c>
      <c r="AF51" s="130" t="n"/>
      <c r="AG51" s="38">
        <f>AF51*$C51</f>
        <v/>
      </c>
      <c r="AH51" s="130" t="n"/>
      <c r="AI51" s="38">
        <f>AH51*$C51</f>
        <v/>
      </c>
      <c r="AJ51" s="130" t="n"/>
      <c r="AK51" s="38">
        <f>AJ51*$C51</f>
        <v/>
      </c>
      <c r="AL51" s="130" t="n"/>
      <c r="AM51" s="38">
        <f>AL51*$C51</f>
        <v/>
      </c>
      <c r="AN51" s="130" t="n"/>
      <c r="AO51" s="38">
        <f>AN51*$C51</f>
        <v/>
      </c>
      <c r="AP51" s="130" t="n"/>
      <c r="AQ51" s="38">
        <f>AP51*$C51</f>
        <v/>
      </c>
      <c r="AR51" s="130" t="n"/>
      <c r="AS51" s="38">
        <f>AR51*$C51</f>
        <v/>
      </c>
      <c r="AT51" s="130" t="n"/>
      <c r="AU51" s="38">
        <f>AT51*$C51</f>
        <v/>
      </c>
      <c r="AV51" s="130" t="n"/>
      <c r="AW51" s="38">
        <f>AV51*$C51</f>
        <v/>
      </c>
      <c r="AX51" s="130" t="n"/>
      <c r="AY51" s="38">
        <f>AX51*$C51</f>
        <v/>
      </c>
    </row>
    <row r="52">
      <c r="A52" s="56" t="inlineStr">
        <is>
          <t>SA02810RSO</t>
        </is>
      </c>
      <c r="B52" s="57" t="inlineStr">
        <is>
          <t>Notification/Correspondence Fees: Prepare and Release supplemental email blast (one time fee)</t>
        </is>
      </c>
      <c r="C52" s="126" t="n"/>
      <c r="D52" s="127" t="n"/>
      <c r="E52" s="38">
        <f>ROUND(C52*D52,2)</f>
        <v/>
      </c>
      <c r="F52" s="60" t="n"/>
      <c r="G52" s="128">
        <f t="array" ref="G52">SUMPRODUCT(L52:EZ52,--(MOD(COLUMN(L52:EZ52),2)=0))</f>
        <v/>
      </c>
      <c r="H52" s="38">
        <f t="array" ref="H52">SUMPRODUCT(L52:EZ52,MOD(COLUMN(L52:EZ52),2))</f>
        <v/>
      </c>
      <c r="I52" s="129">
        <f>D52-G52</f>
        <v/>
      </c>
      <c r="J52" s="40">
        <f>ROUND(E52,2)-ROUND(H52,2)</f>
        <v/>
      </c>
      <c r="K52" s="116">
        <f>IF(J52=0,"",IF(J52&lt;0,"IMPORTANT:  Over budget - Needs review","Currently at or under budget"))</f>
        <v/>
      </c>
      <c r="L52" s="130" t="n"/>
      <c r="M52" s="40">
        <f>L52*$C52</f>
        <v/>
      </c>
      <c r="N52" s="130" t="n"/>
      <c r="O52" s="40">
        <f>N52*$C52</f>
        <v/>
      </c>
      <c r="P52" s="130" t="n"/>
      <c r="Q52" s="40">
        <f>P52*$C52</f>
        <v/>
      </c>
      <c r="R52" s="130" t="n"/>
      <c r="S52" s="40">
        <f>R52*$C52</f>
        <v/>
      </c>
      <c r="T52" s="130" t="n"/>
      <c r="U52" s="64">
        <f>T52*$C52</f>
        <v/>
      </c>
      <c r="V52" s="130" t="n"/>
      <c r="W52" s="38">
        <f>V52*$C52</f>
        <v/>
      </c>
      <c r="X52" s="130" t="n"/>
      <c r="Y52" s="38">
        <f>X52*$C52</f>
        <v/>
      </c>
      <c r="Z52" s="130" t="n"/>
      <c r="AA52" s="38">
        <f>Z52*$C52</f>
        <v/>
      </c>
      <c r="AB52" s="130" t="n"/>
      <c r="AC52" s="38">
        <f>AB52*$C52</f>
        <v/>
      </c>
      <c r="AD52" s="130" t="n"/>
      <c r="AE52" s="38">
        <f>AD52*$C52</f>
        <v/>
      </c>
      <c r="AF52" s="130" t="n"/>
      <c r="AG52" s="38">
        <f>AF52*$C52</f>
        <v/>
      </c>
      <c r="AH52" s="130" t="n"/>
      <c r="AI52" s="38">
        <f>AH52*$C52</f>
        <v/>
      </c>
      <c r="AJ52" s="130" t="n"/>
      <c r="AK52" s="38">
        <f>AJ52*$C52</f>
        <v/>
      </c>
      <c r="AL52" s="130" t="n"/>
      <c r="AM52" s="38">
        <f>AL52*$C52</f>
        <v/>
      </c>
      <c r="AN52" s="130" t="n"/>
      <c r="AO52" s="38">
        <f>AN52*$C52</f>
        <v/>
      </c>
      <c r="AP52" s="130" t="n"/>
      <c r="AQ52" s="38">
        <f>AP52*$C52</f>
        <v/>
      </c>
      <c r="AR52" s="130" t="n"/>
      <c r="AS52" s="38">
        <f>AR52*$C52</f>
        <v/>
      </c>
      <c r="AT52" s="130" t="n"/>
      <c r="AU52" s="38">
        <f>AT52*$C52</f>
        <v/>
      </c>
      <c r="AV52" s="130" t="n"/>
      <c r="AW52" s="38">
        <f>AV52*$C52</f>
        <v/>
      </c>
      <c r="AX52" s="130" t="n"/>
      <c r="AY52" s="38">
        <f>AX52*$C52</f>
        <v/>
      </c>
    </row>
    <row r="53">
      <c r="A53" s="56" t="inlineStr">
        <is>
          <t>SA02825GTO</t>
        </is>
      </c>
      <c r="B53" s="57" t="inlineStr">
        <is>
          <t>Notification/Correspondence Fees: Generate list of text numbers (one time fee)</t>
        </is>
      </c>
      <c r="C53" s="126" t="n"/>
      <c r="D53" s="127" t="n"/>
      <c r="E53" s="38">
        <f>ROUND(C53*D53,2)</f>
        <v/>
      </c>
      <c r="F53" s="60" t="n"/>
      <c r="G53" s="128">
        <f t="array" ref="G53">SUMPRODUCT(L53:EZ53,--(MOD(COLUMN(L53:EZ53),2)=0))</f>
        <v/>
      </c>
      <c r="H53" s="38">
        <f t="array" ref="H53">SUMPRODUCT(L53:EZ53,MOD(COLUMN(L53:EZ53),2))</f>
        <v/>
      </c>
      <c r="I53" s="129">
        <f>D53-G53</f>
        <v/>
      </c>
      <c r="J53" s="40">
        <f>ROUND(E53,2)-ROUND(H53,2)</f>
        <v/>
      </c>
      <c r="K53" s="116">
        <f>IF(J53=0,"",IF(J53&lt;0,"IMPORTANT:  Over budget - Needs review","Currently at or under budget"))</f>
        <v/>
      </c>
      <c r="L53" s="130" t="n"/>
      <c r="M53" s="40">
        <f>L53*$C53</f>
        <v/>
      </c>
      <c r="N53" s="130" t="n"/>
      <c r="O53" s="40">
        <f>N53*$C53</f>
        <v/>
      </c>
      <c r="P53" s="130" t="n"/>
      <c r="Q53" s="40">
        <f>P53*$C53</f>
        <v/>
      </c>
      <c r="R53" s="130" t="n"/>
      <c r="S53" s="40">
        <f>R53*$C53</f>
        <v/>
      </c>
      <c r="T53" s="130" t="n"/>
      <c r="U53" s="64">
        <f>T53*$C53</f>
        <v/>
      </c>
      <c r="V53" s="130" t="n"/>
      <c r="W53" s="38">
        <f>V53*$C53</f>
        <v/>
      </c>
      <c r="X53" s="130" t="n"/>
      <c r="Y53" s="38">
        <f>X53*$C53</f>
        <v/>
      </c>
      <c r="Z53" s="130" t="n"/>
      <c r="AA53" s="38">
        <f>Z53*$C53</f>
        <v/>
      </c>
      <c r="AB53" s="130" t="n"/>
      <c r="AC53" s="38">
        <f>AB53*$C53</f>
        <v/>
      </c>
      <c r="AD53" s="130" t="n"/>
      <c r="AE53" s="38">
        <f>AD53*$C53</f>
        <v/>
      </c>
      <c r="AF53" s="130" t="n"/>
      <c r="AG53" s="38">
        <f>AF53*$C53</f>
        <v/>
      </c>
      <c r="AH53" s="130" t="n"/>
      <c r="AI53" s="38">
        <f>AH53*$C53</f>
        <v/>
      </c>
      <c r="AJ53" s="130" t="n"/>
      <c r="AK53" s="38">
        <f>AJ53*$C53</f>
        <v/>
      </c>
      <c r="AL53" s="130" t="n"/>
      <c r="AM53" s="38">
        <f>AL53*$C53</f>
        <v/>
      </c>
      <c r="AN53" s="130" t="n"/>
      <c r="AO53" s="38">
        <f>AN53*$C53</f>
        <v/>
      </c>
      <c r="AP53" s="130" t="n"/>
      <c r="AQ53" s="38">
        <f>AP53*$C53</f>
        <v/>
      </c>
      <c r="AR53" s="130" t="n"/>
      <c r="AS53" s="38">
        <f>AR53*$C53</f>
        <v/>
      </c>
      <c r="AT53" s="130" t="n"/>
      <c r="AU53" s="38">
        <f>AT53*$C53</f>
        <v/>
      </c>
      <c r="AV53" s="130" t="n"/>
      <c r="AW53" s="38">
        <f>AV53*$C53</f>
        <v/>
      </c>
      <c r="AX53" s="130" t="n"/>
      <c r="AY53" s="38">
        <f>AX53*$C53</f>
        <v/>
      </c>
    </row>
    <row r="54">
      <c r="A54" s="56" t="inlineStr">
        <is>
          <t>SA02840RTT</t>
        </is>
      </c>
      <c r="B54" s="57" t="inlineStr">
        <is>
          <t>Notification/Correspondence Fees: Release text blast (per text)</t>
        </is>
      </c>
      <c r="C54" s="126" t="n"/>
      <c r="D54" s="127" t="n"/>
      <c r="E54" s="38">
        <f>ROUND(C54*D54,2)</f>
        <v/>
      </c>
      <c r="F54" s="60" t="n"/>
      <c r="G54" s="128">
        <f t="array" ref="G54">SUMPRODUCT(L54:EZ54,--(MOD(COLUMN(L54:EZ54),2)=0))</f>
        <v/>
      </c>
      <c r="H54" s="38">
        <f t="array" ref="H54">SUMPRODUCT(L54:EZ54,MOD(COLUMN(L54:EZ54),2))</f>
        <v/>
      </c>
      <c r="I54" s="129">
        <f>D54-G54</f>
        <v/>
      </c>
      <c r="J54" s="40">
        <f>ROUND(E54,2)-ROUND(H54,2)</f>
        <v/>
      </c>
      <c r="K54" s="116">
        <f>IF(J54=0,"",IF(J54&lt;0,"IMPORTANT:  Over budget - Needs review","Currently at or under budget"))</f>
        <v/>
      </c>
      <c r="L54" s="130" t="n"/>
      <c r="M54" s="40">
        <f>L54*$C54</f>
        <v/>
      </c>
      <c r="N54" s="130" t="n"/>
      <c r="O54" s="40">
        <f>N54*$C54</f>
        <v/>
      </c>
      <c r="P54" s="130" t="n"/>
      <c r="Q54" s="40">
        <f>P54*$C54</f>
        <v/>
      </c>
      <c r="R54" s="130" t="n"/>
      <c r="S54" s="40">
        <f>R54*$C54</f>
        <v/>
      </c>
      <c r="T54" s="130" t="n"/>
      <c r="U54" s="64">
        <f>T54*$C54</f>
        <v/>
      </c>
      <c r="V54" s="130" t="n"/>
      <c r="W54" s="38">
        <f>V54*$C54</f>
        <v/>
      </c>
      <c r="X54" s="130" t="n"/>
      <c r="Y54" s="38">
        <f>X54*$C54</f>
        <v/>
      </c>
      <c r="Z54" s="130" t="n"/>
      <c r="AA54" s="38">
        <f>Z54*$C54</f>
        <v/>
      </c>
      <c r="AB54" s="130" t="n"/>
      <c r="AC54" s="38">
        <f>AB54*$C54</f>
        <v/>
      </c>
      <c r="AD54" s="130" t="n"/>
      <c r="AE54" s="38">
        <f>AD54*$C54</f>
        <v/>
      </c>
      <c r="AF54" s="130" t="n"/>
      <c r="AG54" s="38">
        <f>AF54*$C54</f>
        <v/>
      </c>
      <c r="AH54" s="130" t="n"/>
      <c r="AI54" s="38">
        <f>AH54*$C54</f>
        <v/>
      </c>
      <c r="AJ54" s="130" t="n"/>
      <c r="AK54" s="38">
        <f>AJ54*$C54</f>
        <v/>
      </c>
      <c r="AL54" s="130" t="n"/>
      <c r="AM54" s="38">
        <f>AL54*$C54</f>
        <v/>
      </c>
      <c r="AN54" s="130" t="n"/>
      <c r="AO54" s="38">
        <f>AN54*$C54</f>
        <v/>
      </c>
      <c r="AP54" s="130" t="n"/>
      <c r="AQ54" s="38">
        <f>AP54*$C54</f>
        <v/>
      </c>
      <c r="AR54" s="130" t="n"/>
      <c r="AS54" s="38">
        <f>AR54*$C54</f>
        <v/>
      </c>
      <c r="AT54" s="130" t="n"/>
      <c r="AU54" s="38">
        <f>AT54*$C54</f>
        <v/>
      </c>
      <c r="AV54" s="130" t="n"/>
      <c r="AW54" s="38">
        <f>AV54*$C54</f>
        <v/>
      </c>
      <c r="AX54" s="130" t="n"/>
      <c r="AY54" s="38">
        <f>AX54*$C54</f>
        <v/>
      </c>
    </row>
    <row r="55">
      <c r="A55" s="56" t="inlineStr">
        <is>
          <t>SA02850GLO</t>
        </is>
      </c>
      <c r="B55" s="57" t="inlineStr">
        <is>
          <t>Notification/Correspondence Fees: Generate list of facsimile numbers (one time fee)</t>
        </is>
      </c>
      <c r="C55" s="126" t="n"/>
      <c r="D55" s="127" t="n"/>
      <c r="E55" s="38">
        <f>ROUND(C55*D55,2)</f>
        <v/>
      </c>
      <c r="F55" s="60" t="n"/>
      <c r="G55" s="128">
        <f t="array" ref="G55">SUMPRODUCT(L55:EZ55,--(MOD(COLUMN(L55:EZ55),2)=0))</f>
        <v/>
      </c>
      <c r="H55" s="38">
        <f t="array" ref="H55">SUMPRODUCT(L55:EZ55,MOD(COLUMN(L55:EZ55),2))</f>
        <v/>
      </c>
      <c r="I55" s="129">
        <f>D55-G55</f>
        <v/>
      </c>
      <c r="J55" s="40">
        <f>ROUND(E55,2)-ROUND(H55,2)</f>
        <v/>
      </c>
      <c r="K55" s="116">
        <f>IF(J55=0,"",IF(J55&lt;0,"IMPORTANT:  Over budget - Needs review","Currently at or under budget"))</f>
        <v/>
      </c>
      <c r="L55" s="130" t="n"/>
      <c r="M55" s="40">
        <f>L55*$C55</f>
        <v/>
      </c>
      <c r="N55" s="130" t="n"/>
      <c r="O55" s="40">
        <f>N55*$C55</f>
        <v/>
      </c>
      <c r="P55" s="130" t="n"/>
      <c r="Q55" s="40">
        <f>P55*$C55</f>
        <v/>
      </c>
      <c r="R55" s="130" t="n"/>
      <c r="S55" s="40">
        <f>R55*$C55</f>
        <v/>
      </c>
      <c r="T55" s="130" t="n"/>
      <c r="U55" s="64">
        <f>T55*$C55</f>
        <v/>
      </c>
      <c r="V55" s="130" t="n"/>
      <c r="W55" s="38">
        <f>V55*$C55</f>
        <v/>
      </c>
      <c r="X55" s="130" t="n"/>
      <c r="Y55" s="38">
        <f>X55*$C55</f>
        <v/>
      </c>
      <c r="Z55" s="130" t="n"/>
      <c r="AA55" s="38">
        <f>Z55*$C55</f>
        <v/>
      </c>
      <c r="AB55" s="130" t="n"/>
      <c r="AC55" s="38">
        <f>AB55*$C55</f>
        <v/>
      </c>
      <c r="AD55" s="130" t="n"/>
      <c r="AE55" s="38">
        <f>AD55*$C55</f>
        <v/>
      </c>
      <c r="AF55" s="130" t="n"/>
      <c r="AG55" s="38">
        <f>AF55*$C55</f>
        <v/>
      </c>
      <c r="AH55" s="130" t="n"/>
      <c r="AI55" s="38">
        <f>AH55*$C55</f>
        <v/>
      </c>
      <c r="AJ55" s="130" t="n"/>
      <c r="AK55" s="38">
        <f>AJ55*$C55</f>
        <v/>
      </c>
      <c r="AL55" s="130" t="n"/>
      <c r="AM55" s="38">
        <f>AL55*$C55</f>
        <v/>
      </c>
      <c r="AN55" s="130" t="n"/>
      <c r="AO55" s="38">
        <f>AN55*$C55</f>
        <v/>
      </c>
      <c r="AP55" s="130" t="n"/>
      <c r="AQ55" s="38">
        <f>AP55*$C55</f>
        <v/>
      </c>
      <c r="AR55" s="130" t="n"/>
      <c r="AS55" s="38">
        <f>AR55*$C55</f>
        <v/>
      </c>
      <c r="AT55" s="130" t="n"/>
      <c r="AU55" s="38">
        <f>AT55*$C55</f>
        <v/>
      </c>
      <c r="AV55" s="130" t="n"/>
      <c r="AW55" s="38">
        <f>AV55*$C55</f>
        <v/>
      </c>
      <c r="AX55" s="130" t="n"/>
      <c r="AY55" s="38">
        <f>AX55*$C55</f>
        <v/>
      </c>
    </row>
    <row r="56">
      <c r="A56" s="56" t="inlineStr">
        <is>
          <t>SA02890RFF</t>
        </is>
      </c>
      <c r="B56" s="57" t="inlineStr">
        <is>
          <t>Notification/Correspondence Fees: Release fax blast (per fax)</t>
        </is>
      </c>
      <c r="C56" s="126" t="n"/>
      <c r="D56" s="127" t="n"/>
      <c r="E56" s="38">
        <f>ROUND(C56*D56,2)</f>
        <v/>
      </c>
      <c r="F56" s="60" t="n"/>
      <c r="G56" s="128">
        <f t="array" ref="G56">SUMPRODUCT(L56:EZ56,--(MOD(COLUMN(L56:EZ56),2)=0))</f>
        <v/>
      </c>
      <c r="H56" s="38">
        <f t="array" ref="H56">SUMPRODUCT(L56:EZ56,MOD(COLUMN(L56:EZ56),2))</f>
        <v/>
      </c>
      <c r="I56" s="129">
        <f>D56-G56</f>
        <v/>
      </c>
      <c r="J56" s="40">
        <f>ROUND(E56,2)-ROUND(H56,2)</f>
        <v/>
      </c>
      <c r="K56" s="116">
        <f>IF(J56=0,"",IF(J56&lt;0,"IMPORTANT:  Over budget - Needs review","Currently at or under budget"))</f>
        <v/>
      </c>
      <c r="L56" s="130" t="n"/>
      <c r="M56" s="40">
        <f>L56*$C56</f>
        <v/>
      </c>
      <c r="N56" s="130" t="n"/>
      <c r="O56" s="40">
        <f>N56*$C56</f>
        <v/>
      </c>
      <c r="P56" s="130" t="n"/>
      <c r="Q56" s="40">
        <f>P56*$C56</f>
        <v/>
      </c>
      <c r="R56" s="130" t="n"/>
      <c r="S56" s="40">
        <f>R56*$C56</f>
        <v/>
      </c>
      <c r="T56" s="130" t="n"/>
      <c r="U56" s="64">
        <f>T56*$C56</f>
        <v/>
      </c>
      <c r="V56" s="130" t="n"/>
      <c r="W56" s="38">
        <f>V56*$C56</f>
        <v/>
      </c>
      <c r="X56" s="130" t="n"/>
      <c r="Y56" s="38">
        <f>X56*$C56</f>
        <v/>
      </c>
      <c r="Z56" s="130" t="n"/>
      <c r="AA56" s="38">
        <f>Z56*$C56</f>
        <v/>
      </c>
      <c r="AB56" s="130" t="n"/>
      <c r="AC56" s="38">
        <f>AB56*$C56</f>
        <v/>
      </c>
      <c r="AD56" s="130" t="n"/>
      <c r="AE56" s="38">
        <f>AD56*$C56</f>
        <v/>
      </c>
      <c r="AF56" s="130" t="n"/>
      <c r="AG56" s="38">
        <f>AF56*$C56</f>
        <v/>
      </c>
      <c r="AH56" s="130" t="n"/>
      <c r="AI56" s="38">
        <f>AH56*$C56</f>
        <v/>
      </c>
      <c r="AJ56" s="130" t="n"/>
      <c r="AK56" s="38">
        <f>AJ56*$C56</f>
        <v/>
      </c>
      <c r="AL56" s="130" t="n"/>
      <c r="AM56" s="38">
        <f>AL56*$C56</f>
        <v/>
      </c>
      <c r="AN56" s="130" t="n"/>
      <c r="AO56" s="38">
        <f>AN56*$C56</f>
        <v/>
      </c>
      <c r="AP56" s="130" t="n"/>
      <c r="AQ56" s="38">
        <f>AP56*$C56</f>
        <v/>
      </c>
      <c r="AR56" s="130" t="n"/>
      <c r="AS56" s="38">
        <f>AR56*$C56</f>
        <v/>
      </c>
      <c r="AT56" s="130" t="n"/>
      <c r="AU56" s="38">
        <f>AT56*$C56</f>
        <v/>
      </c>
      <c r="AV56" s="130" t="n"/>
      <c r="AW56" s="38">
        <f>AV56*$C56</f>
        <v/>
      </c>
      <c r="AX56" s="130" t="n"/>
      <c r="AY56" s="38">
        <f>AX56*$C56</f>
        <v/>
      </c>
    </row>
    <row r="57">
      <c r="A57" s="56" t="inlineStr">
        <is>
          <t>SA02930WUU</t>
        </is>
      </c>
      <c r="B57" s="57" t="inlineStr">
        <is>
          <t>Notification/Correspondence Fees: Work on undeliverable faxes (per undeliverable)</t>
        </is>
      </c>
      <c r="C57" s="126" t="n"/>
      <c r="D57" s="127" t="n"/>
      <c r="E57" s="38">
        <f>ROUND(C57*D57,2)</f>
        <v/>
      </c>
      <c r="F57" s="60" t="n"/>
      <c r="G57" s="128">
        <f t="array" ref="G57">SUMPRODUCT(L57:EZ57,--(MOD(COLUMN(L57:EZ57),2)=0))</f>
        <v/>
      </c>
      <c r="H57" s="38">
        <f t="array" ref="H57">SUMPRODUCT(L57:EZ57,MOD(COLUMN(L57:EZ57),2))</f>
        <v/>
      </c>
      <c r="I57" s="129">
        <f>D57-G57</f>
        <v/>
      </c>
      <c r="J57" s="40">
        <f>ROUND(E57,2)-ROUND(H57,2)</f>
        <v/>
      </c>
      <c r="K57" s="116">
        <f>IF(J57=0,"",IF(J57&lt;0,"IMPORTANT:  Over budget - Needs review","Currently at or under budget"))</f>
        <v/>
      </c>
      <c r="L57" s="130" t="n"/>
      <c r="M57" s="40">
        <f>L57*$C57</f>
        <v/>
      </c>
      <c r="N57" s="130" t="n"/>
      <c r="O57" s="40">
        <f>N57*$C57</f>
        <v/>
      </c>
      <c r="P57" s="130" t="n"/>
      <c r="Q57" s="40">
        <f>P57*$C57</f>
        <v/>
      </c>
      <c r="R57" s="130" t="n"/>
      <c r="S57" s="40">
        <f>R57*$C57</f>
        <v/>
      </c>
      <c r="T57" s="130" t="n"/>
      <c r="U57" s="64">
        <f>T57*$C57</f>
        <v/>
      </c>
      <c r="V57" s="130" t="n"/>
      <c r="W57" s="38">
        <f>V57*$C57</f>
        <v/>
      </c>
      <c r="X57" s="130" t="n"/>
      <c r="Y57" s="38">
        <f>X57*$C57</f>
        <v/>
      </c>
      <c r="Z57" s="130" t="n"/>
      <c r="AA57" s="38">
        <f>Z57*$C57</f>
        <v/>
      </c>
      <c r="AB57" s="130" t="n"/>
      <c r="AC57" s="38">
        <f>AB57*$C57</f>
        <v/>
      </c>
      <c r="AD57" s="130" t="n"/>
      <c r="AE57" s="38">
        <f>AD57*$C57</f>
        <v/>
      </c>
      <c r="AF57" s="130" t="n"/>
      <c r="AG57" s="38">
        <f>AF57*$C57</f>
        <v/>
      </c>
      <c r="AH57" s="130" t="n"/>
      <c r="AI57" s="38">
        <f>AH57*$C57</f>
        <v/>
      </c>
      <c r="AJ57" s="130" t="n"/>
      <c r="AK57" s="38">
        <f>AJ57*$C57</f>
        <v/>
      </c>
      <c r="AL57" s="130" t="n"/>
      <c r="AM57" s="38">
        <f>AL57*$C57</f>
        <v/>
      </c>
      <c r="AN57" s="130" t="n"/>
      <c r="AO57" s="38">
        <f>AN57*$C57</f>
        <v/>
      </c>
      <c r="AP57" s="130" t="n"/>
      <c r="AQ57" s="38">
        <f>AP57*$C57</f>
        <v/>
      </c>
      <c r="AR57" s="130" t="n"/>
      <c r="AS57" s="38">
        <f>AR57*$C57</f>
        <v/>
      </c>
      <c r="AT57" s="130" t="n"/>
      <c r="AU57" s="38">
        <f>AT57*$C57</f>
        <v/>
      </c>
      <c r="AV57" s="130" t="n"/>
      <c r="AW57" s="38">
        <f>AV57*$C57</f>
        <v/>
      </c>
      <c r="AX57" s="130" t="n"/>
      <c r="AY57" s="38">
        <f>AX57*$C57</f>
        <v/>
      </c>
    </row>
    <row r="58">
      <c r="A58" s="56" t="inlineStr">
        <is>
          <t>SA03300WSO</t>
        </is>
      </c>
      <c r="B58" s="57" t="inlineStr">
        <is>
          <t>Website: Website setup (one time fee)</t>
        </is>
      </c>
      <c r="C58" s="126" t="n">
        <v>3500</v>
      </c>
      <c r="D58" s="127" t="n">
        <v>1</v>
      </c>
      <c r="E58" s="38">
        <f>ROUND(C58*D58,2)</f>
        <v/>
      </c>
      <c r="F58" s="60" t="n"/>
      <c r="G58" s="128">
        <f t="array" ref="G58">SUMPRODUCT(L58:EZ58,--(MOD(COLUMN(L58:EZ58),2)=0))</f>
        <v/>
      </c>
      <c r="H58" s="38">
        <f t="array" ref="H58">SUMPRODUCT(L58:EZ58,MOD(COLUMN(L58:EZ58),2))</f>
        <v/>
      </c>
      <c r="I58" s="129">
        <f>D58-G58</f>
        <v/>
      </c>
      <c r="J58" s="40">
        <f>ROUND(E58,2)-ROUND(H58,2)</f>
        <v/>
      </c>
      <c r="K58" s="116">
        <f>IF(J58=0,"",IF(J58&lt;0,"IMPORTANT:  Over budget - Needs review","Currently at or under budget"))</f>
        <v/>
      </c>
      <c r="L58" s="130" t="n"/>
      <c r="M58" s="40">
        <f>L58*$C58</f>
        <v/>
      </c>
      <c r="N58" s="130" t="n"/>
      <c r="O58" s="40">
        <f>N58*$C58</f>
        <v/>
      </c>
      <c r="P58" s="130" t="n"/>
      <c r="Q58" s="40">
        <f>P58*$C58</f>
        <v/>
      </c>
      <c r="R58" s="130" t="n"/>
      <c r="S58" s="40">
        <f>R58*$C58</f>
        <v/>
      </c>
      <c r="T58" s="130" t="n"/>
      <c r="U58" s="64">
        <f>T58*$C58</f>
        <v/>
      </c>
      <c r="V58" s="130" t="n"/>
      <c r="W58" s="38">
        <f>V58*$C58</f>
        <v/>
      </c>
      <c r="X58" s="130" t="n"/>
      <c r="Y58" s="38">
        <f>X58*$C58</f>
        <v/>
      </c>
      <c r="Z58" s="130" t="n"/>
      <c r="AA58" s="38">
        <f>Z58*$C58</f>
        <v/>
      </c>
      <c r="AB58" s="130" t="n"/>
      <c r="AC58" s="38">
        <f>AB58*$C58</f>
        <v/>
      </c>
      <c r="AD58" s="130" t="n"/>
      <c r="AE58" s="38">
        <f>AD58*$C58</f>
        <v/>
      </c>
      <c r="AF58" s="130" t="n"/>
      <c r="AG58" s="38">
        <f>AF58*$C58</f>
        <v/>
      </c>
      <c r="AH58" s="130" t="n"/>
      <c r="AI58" s="38">
        <f>AH58*$C58</f>
        <v/>
      </c>
      <c r="AJ58" s="130" t="n"/>
      <c r="AK58" s="38">
        <f>AJ58*$C58</f>
        <v/>
      </c>
      <c r="AL58" s="130" t="n"/>
      <c r="AM58" s="38">
        <f>AL58*$C58</f>
        <v/>
      </c>
      <c r="AN58" s="130" t="n"/>
      <c r="AO58" s="38">
        <f>AN58*$C58</f>
        <v/>
      </c>
      <c r="AP58" s="130" t="n"/>
      <c r="AQ58" s="38">
        <f>AP58*$C58</f>
        <v/>
      </c>
      <c r="AR58" s="130" t="n"/>
      <c r="AS58" s="38">
        <f>AR58*$C58</f>
        <v/>
      </c>
      <c r="AT58" s="130" t="n"/>
      <c r="AU58" s="38">
        <f>AT58*$C58</f>
        <v/>
      </c>
      <c r="AV58" s="130" t="n"/>
      <c r="AW58" s="38">
        <f>AV58*$C58</f>
        <v/>
      </c>
      <c r="AX58" s="130" t="n"/>
      <c r="AY58" s="38">
        <f>AX58*$C58</f>
        <v/>
      </c>
    </row>
    <row r="59">
      <c r="A59" s="56" t="inlineStr">
        <is>
          <t>SA03700MMM</t>
        </is>
      </c>
      <c r="B59" s="57" t="inlineStr">
        <is>
          <t>Website: Monthly hosting (per month)</t>
        </is>
      </c>
      <c r="C59" s="126" t="n">
        <v>125</v>
      </c>
      <c r="D59" s="127" t="n">
        <v>9</v>
      </c>
      <c r="E59" s="38">
        <f>ROUND(C59*D59,2)</f>
        <v/>
      </c>
      <c r="F59" s="60" t="n"/>
      <c r="G59" s="128">
        <f t="array" ref="G59">SUMPRODUCT(L59:EZ59,--(MOD(COLUMN(L59:EZ59),2)=0))</f>
        <v/>
      </c>
      <c r="H59" s="38">
        <f t="array" ref="H59">SUMPRODUCT(L59:EZ59,MOD(COLUMN(L59:EZ59),2))</f>
        <v/>
      </c>
      <c r="I59" s="129">
        <f>D59-G59</f>
        <v/>
      </c>
      <c r="J59" s="40">
        <f>ROUND(E59,2)-ROUND(H59,2)</f>
        <v/>
      </c>
      <c r="K59" s="116">
        <f>IF(J59=0,"",IF(J59&lt;0,"IMPORTANT:  Over budget - Needs review","Currently at or under budget"))</f>
        <v/>
      </c>
      <c r="L59" s="130" t="n"/>
      <c r="M59" s="40">
        <f>L59*$C59</f>
        <v/>
      </c>
      <c r="N59" s="130" t="n"/>
      <c r="O59" s="40">
        <f>N59*$C59</f>
        <v/>
      </c>
      <c r="P59" s="130" t="n"/>
      <c r="Q59" s="40">
        <f>P59*$C59</f>
        <v/>
      </c>
      <c r="R59" s="130" t="n"/>
      <c r="S59" s="40">
        <f>R59*$C59</f>
        <v/>
      </c>
      <c r="T59" s="130" t="n"/>
      <c r="U59" s="64">
        <f>T59*$C59</f>
        <v/>
      </c>
      <c r="V59" s="130" t="n"/>
      <c r="W59" s="38">
        <f>V59*$C59</f>
        <v/>
      </c>
      <c r="X59" s="130" t="n"/>
      <c r="Y59" s="38">
        <f>X59*$C59</f>
        <v/>
      </c>
      <c r="Z59" s="130" t="n"/>
      <c r="AA59" s="38">
        <f>Z59*$C59</f>
        <v/>
      </c>
      <c r="AB59" s="130" t="n"/>
      <c r="AC59" s="38">
        <f>AB59*$C59</f>
        <v/>
      </c>
      <c r="AD59" s="130" t="n"/>
      <c r="AE59" s="38">
        <f>AD59*$C59</f>
        <v/>
      </c>
      <c r="AF59" s="130" t="n"/>
      <c r="AG59" s="38">
        <f>AF59*$C59</f>
        <v/>
      </c>
      <c r="AH59" s="130" t="n"/>
      <c r="AI59" s="38">
        <f>AH59*$C59</f>
        <v/>
      </c>
      <c r="AJ59" s="130" t="n"/>
      <c r="AK59" s="38">
        <f>AJ59*$C59</f>
        <v/>
      </c>
      <c r="AL59" s="130" t="n"/>
      <c r="AM59" s="38">
        <f>AL59*$C59</f>
        <v/>
      </c>
      <c r="AN59" s="130" t="n"/>
      <c r="AO59" s="38">
        <f>AN59*$C59</f>
        <v/>
      </c>
      <c r="AP59" s="130" t="n"/>
      <c r="AQ59" s="38">
        <f>AP59*$C59</f>
        <v/>
      </c>
      <c r="AR59" s="130" t="n"/>
      <c r="AS59" s="38">
        <f>AR59*$C59</f>
        <v/>
      </c>
      <c r="AT59" s="130" t="n"/>
      <c r="AU59" s="38">
        <f>AT59*$C59</f>
        <v/>
      </c>
      <c r="AV59" s="130" t="n"/>
      <c r="AW59" s="38">
        <f>AV59*$C59</f>
        <v/>
      </c>
      <c r="AX59" s="130" t="n"/>
      <c r="AY59" s="38">
        <f>AX59*$C59</f>
        <v/>
      </c>
    </row>
    <row r="60">
      <c r="A60" s="56" t="inlineStr">
        <is>
          <t>SA03850ITS</t>
        </is>
      </c>
      <c r="B60" s="57" t="inlineStr">
        <is>
          <t xml:space="preserve">Website: IT Services/Web Portal </t>
        </is>
      </c>
      <c r="C60" s="126" t="n"/>
      <c r="D60" s="127" t="n"/>
      <c r="E60" s="38">
        <f>ROUND(C60*D60,2)</f>
        <v/>
      </c>
      <c r="F60" s="60" t="n"/>
      <c r="G60" s="128">
        <f t="array" ref="G60">SUMPRODUCT(L60:EZ60,--(MOD(COLUMN(L60:EZ60),2)=0))</f>
        <v/>
      </c>
      <c r="H60" s="38">
        <f t="array" ref="H60">SUMPRODUCT(L60:EZ60,MOD(COLUMN(L60:EZ60),2))</f>
        <v/>
      </c>
      <c r="I60" s="129">
        <f>D60-G60</f>
        <v/>
      </c>
      <c r="J60" s="40">
        <f>ROUND(E60,2)-ROUND(H60,2)</f>
        <v/>
      </c>
      <c r="K60" s="116">
        <f>IF(J60=0,"",IF(J60&lt;0,"IMPORTANT:  Over budget - Needs review","Currently at or under budget"))</f>
        <v/>
      </c>
      <c r="L60" s="130" t="n"/>
      <c r="M60" s="40">
        <f>L60*$C60</f>
        <v/>
      </c>
      <c r="N60" s="130" t="n"/>
      <c r="O60" s="40">
        <f>N60*$C60</f>
        <v/>
      </c>
      <c r="P60" s="130" t="n"/>
      <c r="Q60" s="40">
        <f>P60*$C60</f>
        <v/>
      </c>
      <c r="R60" s="130" t="n"/>
      <c r="S60" s="40">
        <f>R60*$C60</f>
        <v/>
      </c>
      <c r="T60" s="130" t="n"/>
      <c r="U60" s="64">
        <f>T60*$C60</f>
        <v/>
      </c>
      <c r="V60" s="130" t="n"/>
      <c r="W60" s="38">
        <f>V60*$C60</f>
        <v/>
      </c>
      <c r="X60" s="130" t="n"/>
      <c r="Y60" s="38">
        <f>X60*$C60</f>
        <v/>
      </c>
      <c r="Z60" s="130" t="n"/>
      <c r="AA60" s="38">
        <f>Z60*$C60</f>
        <v/>
      </c>
      <c r="AB60" s="130" t="n"/>
      <c r="AC60" s="38">
        <f>AB60*$C60</f>
        <v/>
      </c>
      <c r="AD60" s="130" t="n"/>
      <c r="AE60" s="38">
        <f>AD60*$C60</f>
        <v/>
      </c>
      <c r="AF60" s="130" t="n"/>
      <c r="AG60" s="38">
        <f>AF60*$C60</f>
        <v/>
      </c>
      <c r="AH60" s="130" t="n"/>
      <c r="AI60" s="38">
        <f>AH60*$C60</f>
        <v/>
      </c>
      <c r="AJ60" s="130" t="n"/>
      <c r="AK60" s="38">
        <f>AJ60*$C60</f>
        <v/>
      </c>
      <c r="AL60" s="130" t="n"/>
      <c r="AM60" s="38">
        <f>AL60*$C60</f>
        <v/>
      </c>
      <c r="AN60" s="130" t="n"/>
      <c r="AO60" s="38">
        <f>AN60*$C60</f>
        <v/>
      </c>
      <c r="AP60" s="130" t="n"/>
      <c r="AQ60" s="38">
        <f>AP60*$C60</f>
        <v/>
      </c>
      <c r="AR60" s="130" t="n"/>
      <c r="AS60" s="38">
        <f>AR60*$C60</f>
        <v/>
      </c>
      <c r="AT60" s="130" t="n"/>
      <c r="AU60" s="38">
        <f>AT60*$C60</f>
        <v/>
      </c>
      <c r="AV60" s="130" t="n"/>
      <c r="AW60" s="38">
        <f>AV60*$C60</f>
        <v/>
      </c>
      <c r="AX60" s="130" t="n"/>
      <c r="AY60" s="38">
        <f>AX60*$C60</f>
        <v/>
      </c>
    </row>
    <row r="61">
      <c r="A61" s="56" t="inlineStr">
        <is>
          <t>SA04100CCO</t>
        </is>
      </c>
      <c r="B61" s="57" t="inlineStr">
        <is>
          <t>Contact Center: Call center IVR design and setup (one time fee)</t>
        </is>
      </c>
      <c r="C61" s="126" t="n">
        <v>1000</v>
      </c>
      <c r="D61" s="127" t="n">
        <v>1</v>
      </c>
      <c r="E61" s="38">
        <f>ROUND(C61*D61,2)</f>
        <v/>
      </c>
      <c r="F61" s="60" t="n"/>
      <c r="G61" s="128">
        <f t="array" ref="G61">SUMPRODUCT(L61:EZ61,--(MOD(COLUMN(L61:EZ61),2)=0))</f>
        <v/>
      </c>
      <c r="H61" s="38">
        <f t="array" ref="H61">SUMPRODUCT(L61:EZ61,MOD(COLUMN(L61:EZ61),2))</f>
        <v/>
      </c>
      <c r="I61" s="129">
        <f>D61-G61</f>
        <v/>
      </c>
      <c r="J61" s="40">
        <f>ROUND(E61,2)-ROUND(H61,2)</f>
        <v/>
      </c>
      <c r="K61" s="116">
        <f>IF(J61=0,"",IF(J61&lt;0,"IMPORTANT:  Over budget - Needs review","Currently at or under budget"))</f>
        <v/>
      </c>
      <c r="L61" s="130" t="n"/>
      <c r="M61" s="40">
        <f>L61*$C61</f>
        <v/>
      </c>
      <c r="N61" s="130" t="n"/>
      <c r="O61" s="40">
        <f>N61*$C61</f>
        <v/>
      </c>
      <c r="P61" s="130" t="n"/>
      <c r="Q61" s="40">
        <f>P61*$C61</f>
        <v/>
      </c>
      <c r="R61" s="130" t="n"/>
      <c r="S61" s="40">
        <f>R61*$C61</f>
        <v/>
      </c>
      <c r="T61" s="130" t="n"/>
      <c r="U61" s="64">
        <f>T61*$C61</f>
        <v/>
      </c>
      <c r="V61" s="130" t="n"/>
      <c r="W61" s="38">
        <f>V61*$C61</f>
        <v/>
      </c>
      <c r="X61" s="130" t="n"/>
      <c r="Y61" s="38">
        <f>X61*$C61</f>
        <v/>
      </c>
      <c r="Z61" s="130" t="n"/>
      <c r="AA61" s="38">
        <f>Z61*$C61</f>
        <v/>
      </c>
      <c r="AB61" s="130" t="n"/>
      <c r="AC61" s="38">
        <f>AB61*$C61</f>
        <v/>
      </c>
      <c r="AD61" s="130" t="n"/>
      <c r="AE61" s="38">
        <f>AD61*$C61</f>
        <v/>
      </c>
      <c r="AF61" s="130" t="n"/>
      <c r="AG61" s="38">
        <f>AF61*$C61</f>
        <v/>
      </c>
      <c r="AH61" s="130" t="n"/>
      <c r="AI61" s="38">
        <f>AH61*$C61</f>
        <v/>
      </c>
      <c r="AJ61" s="130" t="n"/>
      <c r="AK61" s="38">
        <f>AJ61*$C61</f>
        <v/>
      </c>
      <c r="AL61" s="130" t="n"/>
      <c r="AM61" s="38">
        <f>AL61*$C61</f>
        <v/>
      </c>
      <c r="AN61" s="130" t="n"/>
      <c r="AO61" s="38">
        <f>AN61*$C61</f>
        <v/>
      </c>
      <c r="AP61" s="130" t="n"/>
      <c r="AQ61" s="38">
        <f>AP61*$C61</f>
        <v/>
      </c>
      <c r="AR61" s="130" t="n"/>
      <c r="AS61" s="38">
        <f>AR61*$C61</f>
        <v/>
      </c>
      <c r="AT61" s="130" t="n"/>
      <c r="AU61" s="38">
        <f>AT61*$C61</f>
        <v/>
      </c>
      <c r="AV61" s="130" t="n"/>
      <c r="AW61" s="38">
        <f>AV61*$C61</f>
        <v/>
      </c>
      <c r="AX61" s="130" t="n"/>
      <c r="AY61" s="38">
        <f>AX61*$C61</f>
        <v/>
      </c>
    </row>
    <row r="62">
      <c r="A62" s="56" t="inlineStr">
        <is>
          <t>SA04350IOM</t>
        </is>
      </c>
      <c r="B62" s="57" t="inlineStr">
        <is>
          <t>Contact Center: IVR operating system (per minute)</t>
        </is>
      </c>
      <c r="C62" s="126" t="n">
        <v>0.15</v>
      </c>
      <c r="D62" s="127" t="n">
        <v>10830</v>
      </c>
      <c r="E62" s="38">
        <f>ROUND(C62*D62,2)</f>
        <v/>
      </c>
      <c r="F62" s="60" t="n"/>
      <c r="G62" s="128">
        <f t="array" ref="G62">SUMPRODUCT(L62:EZ62,--(MOD(COLUMN(L62:EZ62),2)=0))</f>
        <v/>
      </c>
      <c r="H62" s="38">
        <f t="array" ref="H62">SUMPRODUCT(L62:EZ62,MOD(COLUMN(L62:EZ62),2))</f>
        <v/>
      </c>
      <c r="I62" s="129">
        <f>D62-G62</f>
        <v/>
      </c>
      <c r="J62" s="40">
        <f>ROUND(E62,2)-ROUND(H62,2)</f>
        <v/>
      </c>
      <c r="K62" s="116">
        <f>IF(J62=0,"",IF(J62&lt;0,"IMPORTANT:  Over budget - Needs review","Currently at or under budget"))</f>
        <v/>
      </c>
      <c r="L62" s="130" t="n"/>
      <c r="M62" s="40">
        <f>L62*$C62</f>
        <v/>
      </c>
      <c r="N62" s="130" t="n"/>
      <c r="O62" s="40">
        <f>N62*$C62</f>
        <v/>
      </c>
      <c r="P62" s="130" t="n"/>
      <c r="Q62" s="40">
        <f>P62*$C62</f>
        <v/>
      </c>
      <c r="R62" s="130" t="n"/>
      <c r="S62" s="40">
        <f>R62*$C62</f>
        <v/>
      </c>
      <c r="T62" s="130" t="n"/>
      <c r="U62" s="64">
        <f>T62*$C62</f>
        <v/>
      </c>
      <c r="V62" s="130" t="n"/>
      <c r="W62" s="38">
        <f>V62*$C62</f>
        <v/>
      </c>
      <c r="X62" s="130" t="n"/>
      <c r="Y62" s="38">
        <f>X62*$C62</f>
        <v/>
      </c>
      <c r="Z62" s="130" t="n"/>
      <c r="AA62" s="38">
        <f>Z62*$C62</f>
        <v/>
      </c>
      <c r="AB62" s="130" t="n"/>
      <c r="AC62" s="38">
        <f>AB62*$C62</f>
        <v/>
      </c>
      <c r="AD62" s="130" t="n"/>
      <c r="AE62" s="38">
        <f>AD62*$C62</f>
        <v/>
      </c>
      <c r="AF62" s="130" t="n"/>
      <c r="AG62" s="38">
        <f>AF62*$C62</f>
        <v/>
      </c>
      <c r="AH62" s="130" t="n"/>
      <c r="AI62" s="38">
        <f>AH62*$C62</f>
        <v/>
      </c>
      <c r="AJ62" s="130" t="n"/>
      <c r="AK62" s="38">
        <f>AJ62*$C62</f>
        <v/>
      </c>
      <c r="AL62" s="130" t="n"/>
      <c r="AM62" s="38">
        <f>AL62*$C62</f>
        <v/>
      </c>
      <c r="AN62" s="130" t="n"/>
      <c r="AO62" s="38">
        <f>AN62*$C62</f>
        <v/>
      </c>
      <c r="AP62" s="130" t="n"/>
      <c r="AQ62" s="38">
        <f>AP62*$C62</f>
        <v/>
      </c>
      <c r="AR62" s="130" t="n"/>
      <c r="AS62" s="38">
        <f>AR62*$C62</f>
        <v/>
      </c>
      <c r="AT62" s="130" t="n"/>
      <c r="AU62" s="38">
        <f>AT62*$C62</f>
        <v/>
      </c>
      <c r="AV62" s="130" t="n"/>
      <c r="AW62" s="38">
        <f>AV62*$C62</f>
        <v/>
      </c>
      <c r="AX62" s="130" t="n"/>
      <c r="AY62" s="38">
        <f>AX62*$C62</f>
        <v/>
      </c>
    </row>
    <row r="63">
      <c r="A63" s="56" t="inlineStr">
        <is>
          <t>SA04350ION</t>
        </is>
      </c>
      <c r="B63" s="57" t="inlineStr">
        <is>
          <t>Contact Center: IVR operating system (monthly charge)</t>
        </is>
      </c>
      <c r="C63" s="126" t="n"/>
      <c r="D63" s="127" t="n"/>
      <c r="E63" s="38">
        <f>ROUND(C63*D63,2)</f>
        <v/>
      </c>
      <c r="F63" s="60" t="n"/>
      <c r="G63" s="128">
        <f t="array" ref="G63">SUMPRODUCT(L63:EZ63,--(MOD(COLUMN(L63:EZ63),2)=0))</f>
        <v/>
      </c>
      <c r="H63" s="38">
        <f t="array" ref="H63">SUMPRODUCT(L63:EZ63,MOD(COLUMN(L63:EZ63),2))</f>
        <v/>
      </c>
      <c r="I63" s="129">
        <f>D63-G63</f>
        <v/>
      </c>
      <c r="J63" s="40">
        <f>ROUND(E63,2)-ROUND(H63,2)</f>
        <v/>
      </c>
      <c r="K63" s="116">
        <f>IF(J63=0,"",IF(J63&lt;0,"IMPORTANT:  Over budget - Needs review","Currently at or under budget"))</f>
        <v/>
      </c>
      <c r="L63" s="130" t="n"/>
      <c r="M63" s="40">
        <f>L63*$C63</f>
        <v/>
      </c>
      <c r="N63" s="130" t="n"/>
      <c r="O63" s="40">
        <f>N63*$C63</f>
        <v/>
      </c>
      <c r="P63" s="130" t="n"/>
      <c r="Q63" s="40">
        <f>P63*$C63</f>
        <v/>
      </c>
      <c r="R63" s="130" t="n"/>
      <c r="S63" s="40">
        <f>R63*$C63</f>
        <v/>
      </c>
      <c r="T63" s="130" t="n"/>
      <c r="U63" s="64">
        <f>T63*$C63</f>
        <v/>
      </c>
      <c r="V63" s="130" t="n"/>
      <c r="W63" s="38">
        <f>V63*$C63</f>
        <v/>
      </c>
      <c r="X63" s="130" t="n"/>
      <c r="Y63" s="38">
        <f>X63*$C63</f>
        <v/>
      </c>
      <c r="Z63" s="130" t="n"/>
      <c r="AA63" s="38">
        <f>Z63*$C63</f>
        <v/>
      </c>
      <c r="AB63" s="130" t="n"/>
      <c r="AC63" s="38">
        <f>AB63*$C63</f>
        <v/>
      </c>
      <c r="AD63" s="130" t="n"/>
      <c r="AE63" s="38">
        <f>AD63*$C63</f>
        <v/>
      </c>
      <c r="AF63" s="130" t="n"/>
      <c r="AG63" s="38">
        <f>AF63*$C63</f>
        <v/>
      </c>
      <c r="AH63" s="130" t="n"/>
      <c r="AI63" s="38">
        <f>AH63*$C63</f>
        <v/>
      </c>
      <c r="AJ63" s="130" t="n"/>
      <c r="AK63" s="38">
        <f>AJ63*$C63</f>
        <v/>
      </c>
      <c r="AL63" s="130" t="n"/>
      <c r="AM63" s="38">
        <f>AL63*$C63</f>
        <v/>
      </c>
      <c r="AN63" s="130" t="n"/>
      <c r="AO63" s="38">
        <f>AN63*$C63</f>
        <v/>
      </c>
      <c r="AP63" s="130" t="n"/>
      <c r="AQ63" s="38">
        <f>AP63*$C63</f>
        <v/>
      </c>
      <c r="AR63" s="130" t="n"/>
      <c r="AS63" s="38">
        <f>AR63*$C63</f>
        <v/>
      </c>
      <c r="AT63" s="130" t="n"/>
      <c r="AU63" s="38">
        <f>AT63*$C63</f>
        <v/>
      </c>
      <c r="AV63" s="130" t="n"/>
      <c r="AW63" s="38">
        <f>AV63*$C63</f>
        <v/>
      </c>
      <c r="AX63" s="130" t="n"/>
      <c r="AY63" s="38">
        <f>AX63*$C63</f>
        <v/>
      </c>
    </row>
    <row r="64">
      <c r="A64" s="56" t="inlineStr">
        <is>
          <t>SA04600OTO</t>
        </is>
      </c>
      <c r="B64" s="57" t="inlineStr">
        <is>
          <t>Contact Center: Operator training (one time fee)</t>
        </is>
      </c>
      <c r="C64" s="126" t="n">
        <v>500</v>
      </c>
      <c r="D64" s="127" t="n">
        <v>1</v>
      </c>
      <c r="E64" s="38">
        <f>ROUND(C64*D64,2)</f>
        <v/>
      </c>
      <c r="F64" s="60" t="n"/>
      <c r="G64" s="128">
        <f t="array" ref="G64">SUMPRODUCT(L64:EZ64,--(MOD(COLUMN(L64:EZ64),2)=0))</f>
        <v/>
      </c>
      <c r="H64" s="38">
        <f t="array" ref="H64">SUMPRODUCT(L64:EZ64,MOD(COLUMN(L64:EZ64),2))</f>
        <v/>
      </c>
      <c r="I64" s="129">
        <f>D64-G64</f>
        <v/>
      </c>
      <c r="J64" s="40">
        <f>ROUND(E64,2)-ROUND(H64,2)</f>
        <v/>
      </c>
      <c r="K64" s="116">
        <f>IF(J64=0,"",IF(J64&lt;0,"IMPORTANT:  Over budget - Needs review","Currently at or under budget"))</f>
        <v/>
      </c>
      <c r="L64" s="130" t="n"/>
      <c r="M64" s="40">
        <f>L64*$C64</f>
        <v/>
      </c>
      <c r="N64" s="130" t="n"/>
      <c r="O64" s="40">
        <f>N64*$C64</f>
        <v/>
      </c>
      <c r="P64" s="130" t="n"/>
      <c r="Q64" s="40">
        <f>P64*$C64</f>
        <v/>
      </c>
      <c r="R64" s="130" t="n"/>
      <c r="S64" s="40">
        <f>R64*$C64</f>
        <v/>
      </c>
      <c r="T64" s="130" t="n"/>
      <c r="U64" s="64">
        <f>T64*$C64</f>
        <v/>
      </c>
      <c r="V64" s="130" t="n"/>
      <c r="W64" s="38">
        <f>V64*$C64</f>
        <v/>
      </c>
      <c r="X64" s="130" t="n"/>
      <c r="Y64" s="38">
        <f>X64*$C64</f>
        <v/>
      </c>
      <c r="Z64" s="130" t="n"/>
      <c r="AA64" s="38">
        <f>Z64*$C64</f>
        <v/>
      </c>
      <c r="AB64" s="130" t="n"/>
      <c r="AC64" s="38">
        <f>AB64*$C64</f>
        <v/>
      </c>
      <c r="AD64" s="130" t="n"/>
      <c r="AE64" s="38">
        <f>AD64*$C64</f>
        <v/>
      </c>
      <c r="AF64" s="130" t="n"/>
      <c r="AG64" s="38">
        <f>AF64*$C64</f>
        <v/>
      </c>
      <c r="AH64" s="130" t="n"/>
      <c r="AI64" s="38">
        <f>AH64*$C64</f>
        <v/>
      </c>
      <c r="AJ64" s="130" t="n"/>
      <c r="AK64" s="38">
        <f>AJ64*$C64</f>
        <v/>
      </c>
      <c r="AL64" s="130" t="n"/>
      <c r="AM64" s="38">
        <f>AL64*$C64</f>
        <v/>
      </c>
      <c r="AN64" s="130" t="n"/>
      <c r="AO64" s="38">
        <f>AN64*$C64</f>
        <v/>
      </c>
      <c r="AP64" s="130" t="n"/>
      <c r="AQ64" s="38">
        <f>AP64*$C64</f>
        <v/>
      </c>
      <c r="AR64" s="130" t="n"/>
      <c r="AS64" s="38">
        <f>AR64*$C64</f>
        <v/>
      </c>
      <c r="AT64" s="130" t="n"/>
      <c r="AU64" s="38">
        <f>AT64*$C64</f>
        <v/>
      </c>
      <c r="AV64" s="130" t="n"/>
      <c r="AW64" s="38">
        <f>AV64*$C64</f>
        <v/>
      </c>
      <c r="AX64" s="130" t="n"/>
      <c r="AY64" s="38">
        <f>AX64*$C64</f>
        <v/>
      </c>
    </row>
    <row r="65">
      <c r="A65" s="56" t="inlineStr">
        <is>
          <t>SA04900LOM</t>
        </is>
      </c>
      <c r="B65" s="57" t="inlineStr">
        <is>
          <t>Contact Center: Live operator minutes (per minute)</t>
        </is>
      </c>
      <c r="C65" s="126" t="n">
        <v>0.95</v>
      </c>
      <c r="D65" s="127" t="n">
        <v>903</v>
      </c>
      <c r="E65" s="38">
        <f>ROUND(C65*D65,2)</f>
        <v/>
      </c>
      <c r="F65" s="60" t="n"/>
      <c r="G65" s="128">
        <f t="array" ref="G65">SUMPRODUCT(L65:EZ65,--(MOD(COLUMN(L65:EZ65),2)=0))</f>
        <v/>
      </c>
      <c r="H65" s="38">
        <f t="array" ref="H65">SUMPRODUCT(L65:EZ65,MOD(COLUMN(L65:EZ65),2))</f>
        <v/>
      </c>
      <c r="I65" s="129">
        <f>D65-G65</f>
        <v/>
      </c>
      <c r="J65" s="40">
        <f>ROUND(E65,2)-ROUND(H65,2)</f>
        <v/>
      </c>
      <c r="K65" s="116">
        <f>IF(J65=0,"",IF(J65&lt;0,"IMPORTANT:  Over budget - Needs review","Currently at or under budget"))</f>
        <v/>
      </c>
      <c r="L65" s="130" t="n"/>
      <c r="M65" s="40">
        <f>L65*$C65</f>
        <v/>
      </c>
      <c r="N65" s="130" t="n"/>
      <c r="O65" s="40">
        <f>N65*$C65</f>
        <v/>
      </c>
      <c r="P65" s="130" t="n"/>
      <c r="Q65" s="40">
        <f>P65*$C65</f>
        <v/>
      </c>
      <c r="R65" s="130" t="n"/>
      <c r="S65" s="40">
        <f>R65*$C65</f>
        <v/>
      </c>
      <c r="T65" s="130" t="n"/>
      <c r="U65" s="64">
        <f>T65*$C65</f>
        <v/>
      </c>
      <c r="V65" s="130" t="n"/>
      <c r="W65" s="38">
        <f>V65*$C65</f>
        <v/>
      </c>
      <c r="X65" s="130" t="n"/>
      <c r="Y65" s="38">
        <f>X65*$C65</f>
        <v/>
      </c>
      <c r="Z65" s="130" t="n"/>
      <c r="AA65" s="38">
        <f>Z65*$C65</f>
        <v/>
      </c>
      <c r="AB65" s="130" t="n"/>
      <c r="AC65" s="38">
        <f>AB65*$C65</f>
        <v/>
      </c>
      <c r="AD65" s="130" t="n"/>
      <c r="AE65" s="38">
        <f>AD65*$C65</f>
        <v/>
      </c>
      <c r="AF65" s="130" t="n"/>
      <c r="AG65" s="38">
        <f>AF65*$C65</f>
        <v/>
      </c>
      <c r="AH65" s="130" t="n"/>
      <c r="AI65" s="38">
        <f>AH65*$C65</f>
        <v/>
      </c>
      <c r="AJ65" s="130" t="n"/>
      <c r="AK65" s="38">
        <f>AJ65*$C65</f>
        <v/>
      </c>
      <c r="AL65" s="130" t="n"/>
      <c r="AM65" s="38">
        <f>AL65*$C65</f>
        <v/>
      </c>
      <c r="AN65" s="130" t="n"/>
      <c r="AO65" s="38">
        <f>AN65*$C65</f>
        <v/>
      </c>
      <c r="AP65" s="130" t="n"/>
      <c r="AQ65" s="38">
        <f>AP65*$C65</f>
        <v/>
      </c>
      <c r="AR65" s="130" t="n"/>
      <c r="AS65" s="38">
        <f>AR65*$C65</f>
        <v/>
      </c>
      <c r="AT65" s="130" t="n"/>
      <c r="AU65" s="38">
        <f>AT65*$C65</f>
        <v/>
      </c>
      <c r="AV65" s="130" t="n"/>
      <c r="AW65" s="38">
        <f>AV65*$C65</f>
        <v/>
      </c>
      <c r="AX65" s="130" t="n"/>
      <c r="AY65" s="38">
        <f>AX65*$C65</f>
        <v/>
      </c>
    </row>
    <row r="66">
      <c r="A66" s="56" t="inlineStr">
        <is>
          <t>SA04900LON</t>
        </is>
      </c>
      <c r="B66" s="57" t="inlineStr">
        <is>
          <t>Contact Center: Live operator minutes (monthly charge)</t>
        </is>
      </c>
      <c r="C66" s="126" t="n"/>
      <c r="D66" s="127" t="n"/>
      <c r="E66" s="38">
        <f>ROUND(C66*D66,2)</f>
        <v/>
      </c>
      <c r="F66" s="60" t="n"/>
      <c r="G66" s="128">
        <f t="array" ref="G66">SUMPRODUCT(L66:EZ66,--(MOD(COLUMN(L66:EZ66),2)=0))</f>
        <v/>
      </c>
      <c r="H66" s="38">
        <f t="array" ref="H66">SUMPRODUCT(L66:EZ66,MOD(COLUMN(L66:EZ66),2))</f>
        <v/>
      </c>
      <c r="I66" s="129">
        <f>D66-G66</f>
        <v/>
      </c>
      <c r="J66" s="40">
        <f>ROUND(E66,2)-ROUND(H66,2)</f>
        <v/>
      </c>
      <c r="K66" s="116">
        <f>IF(J66=0,"",IF(J66&lt;0,"IMPORTANT:  Over budget - Needs review","Currently at or under budget"))</f>
        <v/>
      </c>
      <c r="L66" s="130" t="n"/>
      <c r="M66" s="40">
        <f>L66*$C66</f>
        <v/>
      </c>
      <c r="N66" s="130" t="n"/>
      <c r="O66" s="40">
        <f>N66*$C66</f>
        <v/>
      </c>
      <c r="P66" s="130" t="n"/>
      <c r="Q66" s="40">
        <f>P66*$C66</f>
        <v/>
      </c>
      <c r="R66" s="130" t="n"/>
      <c r="S66" s="40">
        <f>R66*$C66</f>
        <v/>
      </c>
      <c r="T66" s="130" t="n"/>
      <c r="U66" s="64">
        <f>T66*$C66</f>
        <v/>
      </c>
      <c r="V66" s="130" t="n"/>
      <c r="W66" s="38">
        <f>V66*$C66</f>
        <v/>
      </c>
      <c r="X66" s="130" t="n"/>
      <c r="Y66" s="38">
        <f>X66*$C66</f>
        <v/>
      </c>
      <c r="Z66" s="130" t="n"/>
      <c r="AA66" s="38">
        <f>Z66*$C66</f>
        <v/>
      </c>
      <c r="AB66" s="130" t="n"/>
      <c r="AC66" s="38">
        <f>AB66*$C66</f>
        <v/>
      </c>
      <c r="AD66" s="130" t="n"/>
      <c r="AE66" s="38">
        <f>AD66*$C66</f>
        <v/>
      </c>
      <c r="AF66" s="130" t="n"/>
      <c r="AG66" s="38">
        <f>AF66*$C66</f>
        <v/>
      </c>
      <c r="AH66" s="130" t="n"/>
      <c r="AI66" s="38">
        <f>AH66*$C66</f>
        <v/>
      </c>
      <c r="AJ66" s="130" t="n"/>
      <c r="AK66" s="38">
        <f>AJ66*$C66</f>
        <v/>
      </c>
      <c r="AL66" s="130" t="n"/>
      <c r="AM66" s="38">
        <f>AL66*$C66</f>
        <v/>
      </c>
      <c r="AN66" s="130" t="n"/>
      <c r="AO66" s="38">
        <f>AN66*$C66</f>
        <v/>
      </c>
      <c r="AP66" s="130" t="n"/>
      <c r="AQ66" s="38">
        <f>AP66*$C66</f>
        <v/>
      </c>
      <c r="AR66" s="130" t="n"/>
      <c r="AS66" s="38">
        <f>AR66*$C66</f>
        <v/>
      </c>
      <c r="AT66" s="130" t="n"/>
      <c r="AU66" s="38">
        <f>AT66*$C66</f>
        <v/>
      </c>
      <c r="AV66" s="130" t="n"/>
      <c r="AW66" s="38">
        <f>AV66*$C66</f>
        <v/>
      </c>
      <c r="AX66" s="130" t="n"/>
      <c r="AY66" s="38">
        <f>AX66*$C66</f>
        <v/>
      </c>
    </row>
    <row r="67">
      <c r="A67" s="56" t="inlineStr">
        <is>
          <t>SA04925OTM</t>
        </is>
      </c>
      <c r="B67" s="57" t="inlineStr">
        <is>
          <t>Contact Center:  Operator Translation Minutes (per minute)</t>
        </is>
      </c>
      <c r="C67" s="126" t="n"/>
      <c r="D67" s="127" t="n"/>
      <c r="E67" s="38">
        <f>ROUND(C67*D67,2)</f>
        <v/>
      </c>
      <c r="F67" s="60" t="n"/>
      <c r="G67" s="128">
        <f t="array" ref="G67">SUMPRODUCT(L67:EZ67,--(MOD(COLUMN(L67:EZ67),2)=0))</f>
        <v/>
      </c>
      <c r="H67" s="38">
        <f t="array" ref="H67">SUMPRODUCT(L67:EZ67,MOD(COLUMN(L67:EZ67),2))</f>
        <v/>
      </c>
      <c r="I67" s="129">
        <f>D67-G67</f>
        <v/>
      </c>
      <c r="J67" s="40">
        <f>ROUND(E67,2)-ROUND(H67,2)</f>
        <v/>
      </c>
      <c r="K67" s="116">
        <f>IF(J67=0,"",IF(J67&lt;0,"IMPORTANT:  Over budget - Needs review","Currently at or under budget"))</f>
        <v/>
      </c>
      <c r="L67" s="130" t="n"/>
      <c r="M67" s="40">
        <f>L67*$C67</f>
        <v/>
      </c>
      <c r="N67" s="130" t="n"/>
      <c r="O67" s="40">
        <f>N67*$C67</f>
        <v/>
      </c>
      <c r="P67" s="130" t="n"/>
      <c r="Q67" s="40">
        <f>P67*$C67</f>
        <v/>
      </c>
      <c r="R67" s="130" t="n"/>
      <c r="S67" s="40">
        <f>R67*$C67</f>
        <v/>
      </c>
      <c r="T67" s="130" t="n"/>
      <c r="U67" s="64">
        <f>T67*$C67</f>
        <v/>
      </c>
      <c r="V67" s="130" t="n"/>
      <c r="W67" s="38">
        <f>V67*$C67</f>
        <v/>
      </c>
      <c r="X67" s="130" t="n"/>
      <c r="Y67" s="38">
        <f>X67*$C67</f>
        <v/>
      </c>
      <c r="Z67" s="130" t="n"/>
      <c r="AA67" s="38">
        <f>Z67*$C67</f>
        <v/>
      </c>
      <c r="AB67" s="130" t="n"/>
      <c r="AC67" s="38">
        <f>AB67*$C67</f>
        <v/>
      </c>
      <c r="AD67" s="130" t="n"/>
      <c r="AE67" s="38">
        <f>AD67*$C67</f>
        <v/>
      </c>
      <c r="AF67" s="130" t="n"/>
      <c r="AG67" s="38">
        <f>AF67*$C67</f>
        <v/>
      </c>
      <c r="AH67" s="130" t="n"/>
      <c r="AI67" s="38">
        <f>AH67*$C67</f>
        <v/>
      </c>
      <c r="AJ67" s="130" t="n"/>
      <c r="AK67" s="38">
        <f>AJ67*$C67</f>
        <v/>
      </c>
      <c r="AL67" s="130" t="n"/>
      <c r="AM67" s="38">
        <f>AL67*$C67</f>
        <v/>
      </c>
      <c r="AN67" s="130" t="n"/>
      <c r="AO67" s="38">
        <f>AN67*$C67</f>
        <v/>
      </c>
      <c r="AP67" s="130" t="n"/>
      <c r="AQ67" s="38">
        <f>AP67*$C67</f>
        <v/>
      </c>
      <c r="AR67" s="130" t="n"/>
      <c r="AS67" s="38">
        <f>AR67*$C67</f>
        <v/>
      </c>
      <c r="AT67" s="130" t="n"/>
      <c r="AU67" s="38">
        <f>AT67*$C67</f>
        <v/>
      </c>
      <c r="AV67" s="130" t="n"/>
      <c r="AW67" s="38">
        <f>AV67*$C67</f>
        <v/>
      </c>
      <c r="AX67" s="130" t="n"/>
      <c r="AY67" s="38">
        <f>AX67*$C67</f>
        <v/>
      </c>
    </row>
    <row r="68">
      <c r="A68" s="56" t="inlineStr">
        <is>
          <t>SA04950UCC</t>
        </is>
      </c>
      <c r="B68" s="57" t="inlineStr">
        <is>
          <t>Contact Center: Unique caller (per caller)</t>
        </is>
      </c>
      <c r="C68" s="126" t="n"/>
      <c r="D68" s="127" t="n"/>
      <c r="E68" s="38">
        <f>ROUND(C68*D68,2)</f>
        <v/>
      </c>
      <c r="F68" s="60" t="n"/>
      <c r="G68" s="128">
        <f t="array" ref="G68">SUMPRODUCT(L68:EZ68,--(MOD(COLUMN(L68:EZ68),2)=0))</f>
        <v/>
      </c>
      <c r="H68" s="38">
        <f t="array" ref="H68">SUMPRODUCT(L68:EZ68,MOD(COLUMN(L68:EZ68),2))</f>
        <v/>
      </c>
      <c r="I68" s="129">
        <f>D68-G68</f>
        <v/>
      </c>
      <c r="J68" s="40">
        <f>ROUND(E68,2)-ROUND(H68,2)</f>
        <v/>
      </c>
      <c r="K68" s="116">
        <f>IF(J68=0,"",IF(J68&lt;0,"IMPORTANT:  Over budget - Needs review","Currently at or under budget"))</f>
        <v/>
      </c>
      <c r="L68" s="130" t="n"/>
      <c r="M68" s="40">
        <f>L68*$C68</f>
        <v/>
      </c>
      <c r="N68" s="130" t="n"/>
      <c r="O68" s="40">
        <f>N68*$C68</f>
        <v/>
      </c>
      <c r="P68" s="130" t="n"/>
      <c r="Q68" s="40">
        <f>P68*$C68</f>
        <v/>
      </c>
      <c r="R68" s="130" t="n"/>
      <c r="S68" s="40">
        <f>R68*$C68</f>
        <v/>
      </c>
      <c r="T68" s="130" t="n"/>
      <c r="U68" s="64">
        <f>T68*$C68</f>
        <v/>
      </c>
      <c r="V68" s="130" t="n"/>
      <c r="W68" s="38">
        <f>V68*$C68</f>
        <v/>
      </c>
      <c r="X68" s="130" t="n"/>
      <c r="Y68" s="38">
        <f>X68*$C68</f>
        <v/>
      </c>
      <c r="Z68" s="130" t="n"/>
      <c r="AA68" s="38">
        <f>Z68*$C68</f>
        <v/>
      </c>
      <c r="AB68" s="130" t="n"/>
      <c r="AC68" s="38">
        <f>AB68*$C68</f>
        <v/>
      </c>
      <c r="AD68" s="130" t="n"/>
      <c r="AE68" s="38">
        <f>AD68*$C68</f>
        <v/>
      </c>
      <c r="AF68" s="130" t="n"/>
      <c r="AG68" s="38">
        <f>AF68*$C68</f>
        <v/>
      </c>
      <c r="AH68" s="130" t="n"/>
      <c r="AI68" s="38">
        <f>AH68*$C68</f>
        <v/>
      </c>
      <c r="AJ68" s="130" t="n"/>
      <c r="AK68" s="38">
        <f>AJ68*$C68</f>
        <v/>
      </c>
      <c r="AL68" s="130" t="n"/>
      <c r="AM68" s="38">
        <f>AL68*$C68</f>
        <v/>
      </c>
      <c r="AN68" s="130" t="n"/>
      <c r="AO68" s="38">
        <f>AN68*$C68</f>
        <v/>
      </c>
      <c r="AP68" s="130" t="n"/>
      <c r="AQ68" s="38">
        <f>AP68*$C68</f>
        <v/>
      </c>
      <c r="AR68" s="130" t="n"/>
      <c r="AS68" s="38">
        <f>AR68*$C68</f>
        <v/>
      </c>
      <c r="AT68" s="130" t="n"/>
      <c r="AU68" s="38">
        <f>AT68*$C68</f>
        <v/>
      </c>
      <c r="AV68" s="130" t="n"/>
      <c r="AW68" s="38">
        <f>AV68*$C68</f>
        <v/>
      </c>
      <c r="AX68" s="130" t="n"/>
      <c r="AY68" s="38">
        <f>AX68*$C68</f>
        <v/>
      </c>
    </row>
    <row r="69">
      <c r="A69" s="56" t="inlineStr">
        <is>
          <t>SA05500MOM</t>
        </is>
      </c>
      <c r="B69" s="57" t="inlineStr">
        <is>
          <t>Media Campaign: Media/online advertising</t>
        </is>
      </c>
      <c r="C69" s="126" t="n"/>
      <c r="D69" s="127" t="n"/>
      <c r="E69" s="38">
        <f>ROUND(C69*D69,2)</f>
        <v/>
      </c>
      <c r="F69" s="60" t="n"/>
      <c r="G69" s="128">
        <f t="array" ref="G69">SUMPRODUCT(L69:EZ69,--(MOD(COLUMN(L69:EZ69),2)=0))</f>
        <v/>
      </c>
      <c r="H69" s="38">
        <f t="array" ref="H69">SUMPRODUCT(L69:EZ69,MOD(COLUMN(L69:EZ69),2))</f>
        <v/>
      </c>
      <c r="I69" s="129">
        <f>D69-G69</f>
        <v/>
      </c>
      <c r="J69" s="40">
        <f>ROUND(E69,2)-ROUND(H69,2)</f>
        <v/>
      </c>
      <c r="K69" s="116">
        <f>IF(J69=0,"",IF(J69&lt;0,"IMPORTANT:  Over budget - Needs review","Currently at or under budget"))</f>
        <v/>
      </c>
      <c r="L69" s="130" t="n"/>
      <c r="M69" s="40">
        <f>L69*$C69</f>
        <v/>
      </c>
      <c r="N69" s="130" t="n"/>
      <c r="O69" s="40">
        <f>N69*$C69</f>
        <v/>
      </c>
      <c r="P69" s="130" t="n"/>
      <c r="Q69" s="40">
        <f>P69*$C69</f>
        <v/>
      </c>
      <c r="R69" s="130" t="n"/>
      <c r="S69" s="40">
        <f>R69*$C69</f>
        <v/>
      </c>
      <c r="T69" s="130" t="n"/>
      <c r="U69" s="64">
        <f>T69*$C69</f>
        <v/>
      </c>
      <c r="V69" s="130" t="n"/>
      <c r="W69" s="38">
        <f>V69*$C69</f>
        <v/>
      </c>
      <c r="X69" s="130" t="n"/>
      <c r="Y69" s="38">
        <f>X69*$C69</f>
        <v/>
      </c>
      <c r="Z69" s="130" t="n"/>
      <c r="AA69" s="38">
        <f>Z69*$C69</f>
        <v/>
      </c>
      <c r="AB69" s="130" t="n"/>
      <c r="AC69" s="38">
        <f>AB69*$C69</f>
        <v/>
      </c>
      <c r="AD69" s="130" t="n"/>
      <c r="AE69" s="38">
        <f>AD69*$C69</f>
        <v/>
      </c>
      <c r="AF69" s="130" t="n"/>
      <c r="AG69" s="38">
        <f>AF69*$C69</f>
        <v/>
      </c>
      <c r="AH69" s="130" t="n"/>
      <c r="AI69" s="38">
        <f>AH69*$C69</f>
        <v/>
      </c>
      <c r="AJ69" s="130" t="n"/>
      <c r="AK69" s="38">
        <f>AJ69*$C69</f>
        <v/>
      </c>
      <c r="AL69" s="130" t="n"/>
      <c r="AM69" s="38">
        <f>AL69*$C69</f>
        <v/>
      </c>
      <c r="AN69" s="130" t="n"/>
      <c r="AO69" s="38">
        <f>AN69*$C69</f>
        <v/>
      </c>
      <c r="AP69" s="130" t="n"/>
      <c r="AQ69" s="38">
        <f>AP69*$C69</f>
        <v/>
      </c>
      <c r="AR69" s="130" t="n"/>
      <c r="AS69" s="38">
        <f>AR69*$C69</f>
        <v/>
      </c>
      <c r="AT69" s="130" t="n"/>
      <c r="AU69" s="38">
        <f>AT69*$C69</f>
        <v/>
      </c>
      <c r="AV69" s="130" t="n"/>
      <c r="AW69" s="38">
        <f>AV69*$C69</f>
        <v/>
      </c>
      <c r="AX69" s="130" t="n"/>
      <c r="AY69" s="38">
        <f>AX69*$C69</f>
        <v/>
      </c>
    </row>
    <row r="70">
      <c r="A70" s="56" t="inlineStr">
        <is>
          <t>SA07050PAO</t>
        </is>
      </c>
      <c r="B70" s="57" t="inlineStr">
        <is>
          <t>Process Claim Forms Deficiencies and Rejections: Plan of Allocation (one time fee)</t>
        </is>
      </c>
      <c r="C70" s="126" t="n"/>
      <c r="D70" s="127" t="n"/>
      <c r="E70" s="38">
        <f>ROUND(C70*D70,2)</f>
        <v/>
      </c>
      <c r="F70" s="60" t="n"/>
      <c r="G70" s="128">
        <f t="array" ref="G70">SUMPRODUCT(L70:EZ70,--(MOD(COLUMN(L70:EZ70),2)=0))</f>
        <v/>
      </c>
      <c r="H70" s="38">
        <f t="array" ref="H70">SUMPRODUCT(L70:EZ70,MOD(COLUMN(L70:EZ70),2))</f>
        <v/>
      </c>
      <c r="I70" s="129">
        <f>D70-G70</f>
        <v/>
      </c>
      <c r="J70" s="40">
        <f>ROUND(E70,2)-ROUND(H70,2)</f>
        <v/>
      </c>
      <c r="K70" s="116">
        <f>IF(J70=0,"",IF(J70&lt;0,"IMPORTANT:  Over budget - Needs review","Currently at or under budget"))</f>
        <v/>
      </c>
      <c r="L70" s="130" t="n"/>
      <c r="M70" s="40">
        <f>L70*$C70</f>
        <v/>
      </c>
      <c r="N70" s="130" t="n"/>
      <c r="O70" s="40">
        <f>N70*$C70</f>
        <v/>
      </c>
      <c r="P70" s="130" t="n"/>
      <c r="Q70" s="40">
        <f>P70*$C70</f>
        <v/>
      </c>
      <c r="R70" s="130" t="n"/>
      <c r="S70" s="40">
        <f>R70*$C70</f>
        <v/>
      </c>
      <c r="T70" s="130" t="n"/>
      <c r="U70" s="64">
        <f>T70*$C70</f>
        <v/>
      </c>
      <c r="V70" s="130" t="n"/>
      <c r="W70" s="38">
        <f>V70*$C70</f>
        <v/>
      </c>
      <c r="X70" s="130" t="n"/>
      <c r="Y70" s="38">
        <f>X70*$C70</f>
        <v/>
      </c>
      <c r="Z70" s="130" t="n"/>
      <c r="AA70" s="38">
        <f>Z70*$C70</f>
        <v/>
      </c>
      <c r="AB70" s="130" t="n"/>
      <c r="AC70" s="38">
        <f>AB70*$C70</f>
        <v/>
      </c>
      <c r="AD70" s="130" t="n"/>
      <c r="AE70" s="38">
        <f>AD70*$C70</f>
        <v/>
      </c>
      <c r="AF70" s="130" t="n"/>
      <c r="AG70" s="38">
        <f>AF70*$C70</f>
        <v/>
      </c>
      <c r="AH70" s="130" t="n"/>
      <c r="AI70" s="38">
        <f>AH70*$C70</f>
        <v/>
      </c>
      <c r="AJ70" s="130" t="n"/>
      <c r="AK70" s="38">
        <f>AJ70*$C70</f>
        <v/>
      </c>
      <c r="AL70" s="130" t="n"/>
      <c r="AM70" s="38">
        <f>AL70*$C70</f>
        <v/>
      </c>
      <c r="AN70" s="130" t="n"/>
      <c r="AO70" s="38">
        <f>AN70*$C70</f>
        <v/>
      </c>
      <c r="AP70" s="130" t="n"/>
      <c r="AQ70" s="38">
        <f>AP70*$C70</f>
        <v/>
      </c>
      <c r="AR70" s="130" t="n"/>
      <c r="AS70" s="38">
        <f>AR70*$C70</f>
        <v/>
      </c>
      <c r="AT70" s="130" t="n"/>
      <c r="AU70" s="38">
        <f>AT70*$C70</f>
        <v/>
      </c>
      <c r="AV70" s="130" t="n"/>
      <c r="AW70" s="38">
        <f>AV70*$C70</f>
        <v/>
      </c>
      <c r="AX70" s="130" t="n"/>
      <c r="AY70" s="38">
        <f>AX70*$C70</f>
        <v/>
      </c>
    </row>
    <row r="71">
      <c r="A71" s="56" t="inlineStr">
        <is>
          <t>SA07115ORF</t>
        </is>
      </c>
      <c r="B71" s="57" t="inlineStr">
        <is>
          <t>Process Claim Forms Deficiencies and Rejections: Online Registrations (per form)</t>
        </is>
      </c>
      <c r="C71" s="126" t="n"/>
      <c r="D71" s="127" t="n"/>
      <c r="E71" s="38">
        <f>ROUND(C71*D71,2)</f>
        <v/>
      </c>
      <c r="F71" s="60" t="n"/>
      <c r="G71" s="128">
        <f t="array" ref="G71">SUMPRODUCT(L71:EZ71,--(MOD(COLUMN(L71:EZ71),2)=0))</f>
        <v/>
      </c>
      <c r="H71" s="38">
        <f t="array" ref="H71">SUMPRODUCT(L71:EZ71,MOD(COLUMN(L71:EZ71),2))</f>
        <v/>
      </c>
      <c r="I71" s="129">
        <f>D71-G71</f>
        <v/>
      </c>
      <c r="J71" s="40">
        <f>ROUND(E71,2)-ROUND(H71,2)</f>
        <v/>
      </c>
      <c r="K71" s="116">
        <f>IF(J71=0,"",IF(J71&lt;0,"IMPORTANT:  Over budget - Needs review","Currently at or under budget"))</f>
        <v/>
      </c>
      <c r="L71" s="130" t="n"/>
      <c r="M71" s="40">
        <f>L71*$C71</f>
        <v/>
      </c>
      <c r="N71" s="130" t="n"/>
      <c r="O71" s="40">
        <f>N71*$C71</f>
        <v/>
      </c>
      <c r="P71" s="130" t="n"/>
      <c r="Q71" s="40">
        <f>P71*$C71</f>
        <v/>
      </c>
      <c r="R71" s="130" t="n"/>
      <c r="S71" s="40">
        <f>R71*$C71</f>
        <v/>
      </c>
      <c r="T71" s="130" t="n"/>
      <c r="U71" s="64">
        <f>T71*$C71</f>
        <v/>
      </c>
      <c r="V71" s="130" t="n"/>
      <c r="W71" s="38">
        <f>V71*$C71</f>
        <v/>
      </c>
      <c r="X71" s="130" t="n"/>
      <c r="Y71" s="38">
        <f>X71*$C71</f>
        <v/>
      </c>
      <c r="Z71" s="130" t="n"/>
      <c r="AA71" s="38">
        <f>Z71*$C71</f>
        <v/>
      </c>
      <c r="AB71" s="130" t="n"/>
      <c r="AC71" s="38">
        <f>AB71*$C71</f>
        <v/>
      </c>
      <c r="AD71" s="130" t="n"/>
      <c r="AE71" s="38">
        <f>AD71*$C71</f>
        <v/>
      </c>
      <c r="AF71" s="130" t="n"/>
      <c r="AG71" s="38">
        <f>AF71*$C71</f>
        <v/>
      </c>
      <c r="AH71" s="130" t="n"/>
      <c r="AI71" s="38">
        <f>AH71*$C71</f>
        <v/>
      </c>
      <c r="AJ71" s="130" t="n"/>
      <c r="AK71" s="38">
        <f>AJ71*$C71</f>
        <v/>
      </c>
      <c r="AL71" s="130" t="n"/>
      <c r="AM71" s="38">
        <f>AL71*$C71</f>
        <v/>
      </c>
      <c r="AN71" s="130" t="n"/>
      <c r="AO71" s="38">
        <f>AN71*$C71</f>
        <v/>
      </c>
      <c r="AP71" s="130" t="n"/>
      <c r="AQ71" s="38">
        <f>AP71*$C71</f>
        <v/>
      </c>
      <c r="AR71" s="130" t="n"/>
      <c r="AS71" s="38">
        <f>AR71*$C71</f>
        <v/>
      </c>
      <c r="AT71" s="130" t="n"/>
      <c r="AU71" s="38">
        <f>AT71*$C71</f>
        <v/>
      </c>
      <c r="AV71" s="130" t="n"/>
      <c r="AW71" s="38">
        <f>AV71*$C71</f>
        <v/>
      </c>
      <c r="AX71" s="130" t="n"/>
      <c r="AY71" s="38">
        <f>AX71*$C71</f>
        <v/>
      </c>
    </row>
    <row r="72">
      <c r="A72" s="56" t="inlineStr">
        <is>
          <t>SA07180OIC</t>
        </is>
      </c>
      <c r="B72" s="57" t="inlineStr">
        <is>
          <t>Process Claim Forms Deficiencies and Rejections: Opt-in or claim forms (per form)</t>
        </is>
      </c>
      <c r="C72" s="126" t="n">
        <v>2.95</v>
      </c>
      <c r="D72" s="127" t="n">
        <v>217</v>
      </c>
      <c r="E72" s="38">
        <f>ROUND(C72*D72,2)</f>
        <v/>
      </c>
      <c r="F72" s="60" t="n"/>
      <c r="G72" s="128">
        <f t="array" ref="G72">SUMPRODUCT(L72:EZ72,--(MOD(COLUMN(L72:EZ72),2)=0))</f>
        <v/>
      </c>
      <c r="H72" s="38">
        <f t="array" ref="H72">SUMPRODUCT(L72:EZ72,MOD(COLUMN(L72:EZ72),2))</f>
        <v/>
      </c>
      <c r="I72" s="129">
        <f>D72-G72</f>
        <v/>
      </c>
      <c r="J72" s="40">
        <f>ROUND(E72,2)-ROUND(H72,2)</f>
        <v/>
      </c>
      <c r="K72" s="116">
        <f>IF(J72=0,"",IF(J72&lt;0,"IMPORTANT:  Over budget - Needs review","Currently at or under budget"))</f>
        <v/>
      </c>
      <c r="L72" s="130" t="n"/>
      <c r="M72" s="40">
        <f>L72*$C72</f>
        <v/>
      </c>
      <c r="N72" s="130" t="n"/>
      <c r="O72" s="40">
        <f>N72*$C72</f>
        <v/>
      </c>
      <c r="P72" s="130" t="n"/>
      <c r="Q72" s="40">
        <f>P72*$C72</f>
        <v/>
      </c>
      <c r="R72" s="130" t="n"/>
      <c r="S72" s="40">
        <f>R72*$C72</f>
        <v/>
      </c>
      <c r="T72" s="130" t="n"/>
      <c r="U72" s="64">
        <f>T72*$C72</f>
        <v/>
      </c>
      <c r="V72" s="130" t="n"/>
      <c r="W72" s="38">
        <f>V72*$C72</f>
        <v/>
      </c>
      <c r="X72" s="130" t="n"/>
      <c r="Y72" s="38">
        <f>X72*$C72</f>
        <v/>
      </c>
      <c r="Z72" s="130" t="n"/>
      <c r="AA72" s="38">
        <f>Z72*$C72</f>
        <v/>
      </c>
      <c r="AB72" s="130" t="n"/>
      <c r="AC72" s="38">
        <f>AB72*$C72</f>
        <v/>
      </c>
      <c r="AD72" s="130" t="n"/>
      <c r="AE72" s="38">
        <f>AD72*$C72</f>
        <v/>
      </c>
      <c r="AF72" s="130" t="n"/>
      <c r="AG72" s="38">
        <f>AF72*$C72</f>
        <v/>
      </c>
      <c r="AH72" s="130" t="n"/>
      <c r="AI72" s="38">
        <f>AH72*$C72</f>
        <v/>
      </c>
      <c r="AJ72" s="130" t="n"/>
      <c r="AK72" s="38">
        <f>AJ72*$C72</f>
        <v/>
      </c>
      <c r="AL72" s="130" t="n"/>
      <c r="AM72" s="38">
        <f>AL72*$C72</f>
        <v/>
      </c>
      <c r="AN72" s="130" t="n"/>
      <c r="AO72" s="38">
        <f>AN72*$C72</f>
        <v/>
      </c>
      <c r="AP72" s="130" t="n"/>
      <c r="AQ72" s="38">
        <f>AP72*$C72</f>
        <v/>
      </c>
      <c r="AR72" s="130" t="n"/>
      <c r="AS72" s="38">
        <f>AR72*$C72</f>
        <v/>
      </c>
      <c r="AT72" s="130" t="n"/>
      <c r="AU72" s="38">
        <f>AT72*$C72</f>
        <v/>
      </c>
      <c r="AV72" s="130" t="n"/>
      <c r="AW72" s="38">
        <f>AV72*$C72</f>
        <v/>
      </c>
      <c r="AX72" s="130" t="n"/>
      <c r="AY72" s="38">
        <f>AX72*$C72</f>
        <v/>
      </c>
    </row>
    <row r="73">
      <c r="A73" s="56" t="inlineStr">
        <is>
          <t>SA07185OIC</t>
        </is>
      </c>
      <c r="B73" s="57" t="inlineStr">
        <is>
          <t>Process Claim Forms Deficiencies and Rejections: Opt-in or claim forms - Tier 1 (per form)</t>
        </is>
      </c>
      <c r="C73" s="126" t="n"/>
      <c r="D73" s="127" t="n"/>
      <c r="E73" s="38">
        <f>ROUND(C73*D73,2)</f>
        <v/>
      </c>
      <c r="F73" s="60" t="n"/>
      <c r="G73" s="128">
        <f t="array" ref="G73">SUMPRODUCT(L73:EZ73,--(MOD(COLUMN(L73:EZ73),2)=0))</f>
        <v/>
      </c>
      <c r="H73" s="38">
        <f t="array" ref="H73">SUMPRODUCT(L73:EZ73,MOD(COLUMN(L73:EZ73),2))</f>
        <v/>
      </c>
      <c r="I73" s="129">
        <f>D73-G73</f>
        <v/>
      </c>
      <c r="J73" s="40">
        <f>ROUND(E73,2)-ROUND(H73,2)</f>
        <v/>
      </c>
      <c r="K73" s="116">
        <f>IF(J73=0,"",IF(J73&lt;0,"IMPORTANT:  Over budget - Needs review","Currently at or under budget"))</f>
        <v/>
      </c>
      <c r="L73" s="130" t="n"/>
      <c r="M73" s="40">
        <f>L73*$C73</f>
        <v/>
      </c>
      <c r="N73" s="130" t="n"/>
      <c r="O73" s="40">
        <f>N73*$C73</f>
        <v/>
      </c>
      <c r="P73" s="130" t="n"/>
      <c r="Q73" s="40">
        <f>P73*$C73</f>
        <v/>
      </c>
      <c r="R73" s="130" t="n"/>
      <c r="S73" s="40">
        <f>R73*$C73</f>
        <v/>
      </c>
      <c r="T73" s="130" t="n"/>
      <c r="U73" s="64">
        <f>T73*$C73</f>
        <v/>
      </c>
      <c r="V73" s="130" t="n"/>
      <c r="W73" s="38">
        <f>V73*$C73</f>
        <v/>
      </c>
      <c r="X73" s="130" t="n"/>
      <c r="Y73" s="38">
        <f>X73*$C73</f>
        <v/>
      </c>
      <c r="Z73" s="130" t="n"/>
      <c r="AA73" s="38">
        <f>Z73*$C73</f>
        <v/>
      </c>
      <c r="AB73" s="130" t="n"/>
      <c r="AC73" s="38">
        <f>AB73*$C73</f>
        <v/>
      </c>
      <c r="AD73" s="130" t="n"/>
      <c r="AE73" s="38">
        <f>AD73*$C73</f>
        <v/>
      </c>
      <c r="AF73" s="130" t="n"/>
      <c r="AG73" s="38">
        <f>AF73*$C73</f>
        <v/>
      </c>
      <c r="AH73" s="130" t="n"/>
      <c r="AI73" s="38">
        <f>AH73*$C73</f>
        <v/>
      </c>
      <c r="AJ73" s="130" t="n"/>
      <c r="AK73" s="38">
        <f>AJ73*$C73</f>
        <v/>
      </c>
      <c r="AL73" s="130" t="n"/>
      <c r="AM73" s="38">
        <f>AL73*$C73</f>
        <v/>
      </c>
      <c r="AN73" s="130" t="n"/>
      <c r="AO73" s="38">
        <f>AN73*$C73</f>
        <v/>
      </c>
      <c r="AP73" s="130" t="n"/>
      <c r="AQ73" s="38">
        <f>AP73*$C73</f>
        <v/>
      </c>
      <c r="AR73" s="130" t="n"/>
      <c r="AS73" s="38">
        <f>AR73*$C73</f>
        <v/>
      </c>
      <c r="AT73" s="130" t="n"/>
      <c r="AU73" s="38">
        <f>AT73*$C73</f>
        <v/>
      </c>
      <c r="AV73" s="130" t="n"/>
      <c r="AW73" s="38">
        <f>AV73*$C73</f>
        <v/>
      </c>
      <c r="AX73" s="130" t="n"/>
      <c r="AY73" s="38">
        <f>AX73*$C73</f>
        <v/>
      </c>
    </row>
    <row r="74">
      <c r="A74" s="56" t="inlineStr">
        <is>
          <t>SA07186OIC</t>
        </is>
      </c>
      <c r="B74" s="57" t="inlineStr">
        <is>
          <t>Process Claim Forms Deficiencies and Rejections: Opt-in or claim forms - Tier 2 (per form)</t>
        </is>
      </c>
      <c r="C74" s="126" t="n"/>
      <c r="D74" s="127" t="n"/>
      <c r="E74" s="38">
        <f>ROUND(C74*D74,2)</f>
        <v/>
      </c>
      <c r="F74" s="60" t="n"/>
      <c r="G74" s="128">
        <f t="array" ref="G74">SUMPRODUCT(L74:EZ74,--(MOD(COLUMN(L74:EZ74),2)=0))</f>
        <v/>
      </c>
      <c r="H74" s="38">
        <f t="array" ref="H74">SUMPRODUCT(L74:EZ74,MOD(COLUMN(L74:EZ74),2))</f>
        <v/>
      </c>
      <c r="I74" s="129">
        <f>D74-G74</f>
        <v/>
      </c>
      <c r="J74" s="40">
        <f>ROUND(E74,2)-ROUND(H74,2)</f>
        <v/>
      </c>
      <c r="K74" s="116">
        <f>IF(J74=0,"",IF(J74&lt;0,"IMPORTANT:  Over budget - Needs review","Currently at or under budget"))</f>
        <v/>
      </c>
      <c r="L74" s="130" t="n"/>
      <c r="M74" s="40">
        <f>L74*$C74</f>
        <v/>
      </c>
      <c r="N74" s="130" t="n"/>
      <c r="O74" s="40">
        <f>N74*$C74</f>
        <v/>
      </c>
      <c r="P74" s="130" t="n"/>
      <c r="Q74" s="40">
        <f>P74*$C74</f>
        <v/>
      </c>
      <c r="R74" s="130" t="n"/>
      <c r="S74" s="40">
        <f>R74*$C74</f>
        <v/>
      </c>
      <c r="T74" s="130" t="n"/>
      <c r="U74" s="64">
        <f>T74*$C74</f>
        <v/>
      </c>
      <c r="V74" s="130" t="n"/>
      <c r="W74" s="38">
        <f>V74*$C74</f>
        <v/>
      </c>
      <c r="X74" s="130" t="n"/>
      <c r="Y74" s="38">
        <f>X74*$C74</f>
        <v/>
      </c>
      <c r="Z74" s="130" t="n"/>
      <c r="AA74" s="38">
        <f>Z74*$C74</f>
        <v/>
      </c>
      <c r="AB74" s="130" t="n"/>
      <c r="AC74" s="38">
        <f>AB74*$C74</f>
        <v/>
      </c>
      <c r="AD74" s="130" t="n"/>
      <c r="AE74" s="38">
        <f>AD74*$C74</f>
        <v/>
      </c>
      <c r="AF74" s="130" t="n"/>
      <c r="AG74" s="38">
        <f>AF74*$C74</f>
        <v/>
      </c>
      <c r="AH74" s="130" t="n"/>
      <c r="AI74" s="38">
        <f>AH74*$C74</f>
        <v/>
      </c>
      <c r="AJ74" s="130" t="n"/>
      <c r="AK74" s="38">
        <f>AJ74*$C74</f>
        <v/>
      </c>
      <c r="AL74" s="130" t="n"/>
      <c r="AM74" s="38">
        <f>AL74*$C74</f>
        <v/>
      </c>
      <c r="AN74" s="130" t="n"/>
      <c r="AO74" s="38">
        <f>AN74*$C74</f>
        <v/>
      </c>
      <c r="AP74" s="130" t="n"/>
      <c r="AQ74" s="38">
        <f>AP74*$C74</f>
        <v/>
      </c>
      <c r="AR74" s="130" t="n"/>
      <c r="AS74" s="38">
        <f>AR74*$C74</f>
        <v/>
      </c>
      <c r="AT74" s="130" t="n"/>
      <c r="AU74" s="38">
        <f>AT74*$C74</f>
        <v/>
      </c>
      <c r="AV74" s="130" t="n"/>
      <c r="AW74" s="38">
        <f>AV74*$C74</f>
        <v/>
      </c>
      <c r="AX74" s="130" t="n"/>
      <c r="AY74" s="38">
        <f>AX74*$C74</f>
        <v/>
      </c>
    </row>
    <row r="75">
      <c r="A75" s="56" t="inlineStr">
        <is>
          <t>SA07187OIC</t>
        </is>
      </c>
      <c r="B75" s="57" t="inlineStr">
        <is>
          <t>Process Claim Forms Deficiencies and Rejections: Opt-in or claim forms - Tier 3 (per form)</t>
        </is>
      </c>
      <c r="C75" s="126" t="n"/>
      <c r="D75" s="127" t="n"/>
      <c r="E75" s="38">
        <f>ROUND(C75*D75,2)</f>
        <v/>
      </c>
      <c r="F75" s="60" t="n"/>
      <c r="G75" s="128">
        <f t="array" ref="G75">SUMPRODUCT(L75:EZ75,--(MOD(COLUMN(L75:EZ75),2)=0))</f>
        <v/>
      </c>
      <c r="H75" s="38">
        <f t="array" ref="H75">SUMPRODUCT(L75:EZ75,MOD(COLUMN(L75:EZ75),2))</f>
        <v/>
      </c>
      <c r="I75" s="129">
        <f>D75-G75</f>
        <v/>
      </c>
      <c r="J75" s="40">
        <f>ROUND(E75,2)-ROUND(H75,2)</f>
        <v/>
      </c>
      <c r="K75" s="116">
        <f>IF(J75=0,"",IF(J75&lt;0,"IMPORTANT:  Over budget - Needs review","Currently at or under budget"))</f>
        <v/>
      </c>
      <c r="L75" s="130" t="n"/>
      <c r="M75" s="40">
        <f>L75*$C75</f>
        <v/>
      </c>
      <c r="N75" s="130" t="n"/>
      <c r="O75" s="40">
        <f>N75*$C75</f>
        <v/>
      </c>
      <c r="P75" s="130" t="n"/>
      <c r="Q75" s="40">
        <f>P75*$C75</f>
        <v/>
      </c>
      <c r="R75" s="130" t="n"/>
      <c r="S75" s="40">
        <f>R75*$C75</f>
        <v/>
      </c>
      <c r="T75" s="130" t="n"/>
      <c r="U75" s="64">
        <f>T75*$C75</f>
        <v/>
      </c>
      <c r="V75" s="130" t="n"/>
      <c r="W75" s="38">
        <f>V75*$C75</f>
        <v/>
      </c>
      <c r="X75" s="130" t="n"/>
      <c r="Y75" s="38">
        <f>X75*$C75</f>
        <v/>
      </c>
      <c r="Z75" s="130" t="n"/>
      <c r="AA75" s="38">
        <f>Z75*$C75</f>
        <v/>
      </c>
      <c r="AB75" s="130" t="n"/>
      <c r="AC75" s="38">
        <f>AB75*$C75</f>
        <v/>
      </c>
      <c r="AD75" s="130" t="n"/>
      <c r="AE75" s="38">
        <f>AD75*$C75</f>
        <v/>
      </c>
      <c r="AF75" s="130" t="n"/>
      <c r="AG75" s="38">
        <f>AF75*$C75</f>
        <v/>
      </c>
      <c r="AH75" s="130" t="n"/>
      <c r="AI75" s="38">
        <f>AH75*$C75</f>
        <v/>
      </c>
      <c r="AJ75" s="130" t="n"/>
      <c r="AK75" s="38">
        <f>AJ75*$C75</f>
        <v/>
      </c>
      <c r="AL75" s="130" t="n"/>
      <c r="AM75" s="38">
        <f>AL75*$C75</f>
        <v/>
      </c>
      <c r="AN75" s="130" t="n"/>
      <c r="AO75" s="38">
        <f>AN75*$C75</f>
        <v/>
      </c>
      <c r="AP75" s="130" t="n"/>
      <c r="AQ75" s="38">
        <f>AP75*$C75</f>
        <v/>
      </c>
      <c r="AR75" s="130" t="n"/>
      <c r="AS75" s="38">
        <f>AR75*$C75</f>
        <v/>
      </c>
      <c r="AT75" s="130" t="n"/>
      <c r="AU75" s="38">
        <f>AT75*$C75</f>
        <v/>
      </c>
      <c r="AV75" s="130" t="n"/>
      <c r="AW75" s="38">
        <f>AV75*$C75</f>
        <v/>
      </c>
      <c r="AX75" s="130" t="n"/>
      <c r="AY75" s="38">
        <f>AX75*$C75</f>
        <v/>
      </c>
    </row>
    <row r="76">
      <c r="A76" s="56" t="inlineStr">
        <is>
          <t>SA07188OIC</t>
        </is>
      </c>
      <c r="B76" s="57" t="inlineStr">
        <is>
          <t>Process Claim Forms Deficiencies and Rejections: Opt-in or claim forms - Tier 4 (per form)</t>
        </is>
      </c>
      <c r="C76" s="126" t="n"/>
      <c r="D76" s="127" t="n"/>
      <c r="E76" s="38">
        <f>ROUND(C76*D76,2)</f>
        <v/>
      </c>
      <c r="F76" s="60" t="n"/>
      <c r="G76" s="128">
        <f t="array" ref="G76">SUMPRODUCT(L76:EZ76,--(MOD(COLUMN(L76:EZ76),2)=0))</f>
        <v/>
      </c>
      <c r="H76" s="38">
        <f t="array" ref="H76">SUMPRODUCT(L76:EZ76,MOD(COLUMN(L76:EZ76),2))</f>
        <v/>
      </c>
      <c r="I76" s="129">
        <f>D76-G76</f>
        <v/>
      </c>
      <c r="J76" s="40">
        <f>ROUND(E76,2)-ROUND(H76,2)</f>
        <v/>
      </c>
      <c r="K76" s="116">
        <f>IF(J76=0,"",IF(J76&lt;0,"IMPORTANT:  Over budget - Needs review","Currently at or under budget"))</f>
        <v/>
      </c>
      <c r="L76" s="130" t="n"/>
      <c r="M76" s="40">
        <f>L76*$C76</f>
        <v/>
      </c>
      <c r="N76" s="130" t="n"/>
      <c r="O76" s="40">
        <f>N76*$C76</f>
        <v/>
      </c>
      <c r="P76" s="130" t="n"/>
      <c r="Q76" s="40">
        <f>P76*$C76</f>
        <v/>
      </c>
      <c r="R76" s="130" t="n"/>
      <c r="S76" s="40">
        <f>R76*$C76</f>
        <v/>
      </c>
      <c r="T76" s="130" t="n"/>
      <c r="U76" s="64">
        <f>T76*$C76</f>
        <v/>
      </c>
      <c r="V76" s="130" t="n"/>
      <c r="W76" s="38">
        <f>V76*$C76</f>
        <v/>
      </c>
      <c r="X76" s="130" t="n"/>
      <c r="Y76" s="38">
        <f>X76*$C76</f>
        <v/>
      </c>
      <c r="Z76" s="130" t="n"/>
      <c r="AA76" s="38">
        <f>Z76*$C76</f>
        <v/>
      </c>
      <c r="AB76" s="130" t="n"/>
      <c r="AC76" s="38">
        <f>AB76*$C76</f>
        <v/>
      </c>
      <c r="AD76" s="130" t="n"/>
      <c r="AE76" s="38">
        <f>AD76*$C76</f>
        <v/>
      </c>
      <c r="AF76" s="130" t="n"/>
      <c r="AG76" s="38">
        <f>AF76*$C76</f>
        <v/>
      </c>
      <c r="AH76" s="130" t="n"/>
      <c r="AI76" s="38">
        <f>AH76*$C76</f>
        <v/>
      </c>
      <c r="AJ76" s="130" t="n"/>
      <c r="AK76" s="38">
        <f>AJ76*$C76</f>
        <v/>
      </c>
      <c r="AL76" s="130" t="n"/>
      <c r="AM76" s="38">
        <f>AL76*$C76</f>
        <v/>
      </c>
      <c r="AN76" s="130" t="n"/>
      <c r="AO76" s="38">
        <f>AN76*$C76</f>
        <v/>
      </c>
      <c r="AP76" s="130" t="n"/>
      <c r="AQ76" s="38">
        <f>AP76*$C76</f>
        <v/>
      </c>
      <c r="AR76" s="130" t="n"/>
      <c r="AS76" s="38">
        <f>AR76*$C76</f>
        <v/>
      </c>
      <c r="AT76" s="130" t="n"/>
      <c r="AU76" s="38">
        <f>AT76*$C76</f>
        <v/>
      </c>
      <c r="AV76" s="130" t="n"/>
      <c r="AW76" s="38">
        <f>AV76*$C76</f>
        <v/>
      </c>
      <c r="AX76" s="130" t="n"/>
      <c r="AY76" s="38">
        <f>AX76*$C76</f>
        <v/>
      </c>
    </row>
    <row r="77">
      <c r="A77" s="56" t="inlineStr">
        <is>
          <t>SA07189OIC</t>
        </is>
      </c>
      <c r="B77" s="57" t="inlineStr">
        <is>
          <t>Process Claim Forms Deficiencies and Rejections: Opt-in or claim forms - Tier 5 (per form)</t>
        </is>
      </c>
      <c r="C77" s="126" t="n"/>
      <c r="D77" s="127" t="n"/>
      <c r="E77" s="38">
        <f>ROUND(C77*D77,2)</f>
        <v/>
      </c>
      <c r="F77" s="60" t="n"/>
      <c r="G77" s="128">
        <f t="array" ref="G77">SUMPRODUCT(L77:EZ77,--(MOD(COLUMN(L77:EZ77),2)=0))</f>
        <v/>
      </c>
      <c r="H77" s="38">
        <f t="array" ref="H77">SUMPRODUCT(L77:EZ77,MOD(COLUMN(L77:EZ77),2))</f>
        <v/>
      </c>
      <c r="I77" s="129">
        <f>D77-G77</f>
        <v/>
      </c>
      <c r="J77" s="40">
        <f>ROUND(E77,2)-ROUND(H77,2)</f>
        <v/>
      </c>
      <c r="K77" s="116">
        <f>IF(J77=0,"",IF(J77&lt;0,"IMPORTANT:  Over budget - Needs review","Currently at or under budget"))</f>
        <v/>
      </c>
      <c r="L77" s="130" t="n"/>
      <c r="M77" s="40">
        <f>L77*$C77</f>
        <v/>
      </c>
      <c r="N77" s="130" t="n"/>
      <c r="O77" s="40">
        <f>N77*$C77</f>
        <v/>
      </c>
      <c r="P77" s="130" t="n"/>
      <c r="Q77" s="40">
        <f>P77*$C77</f>
        <v/>
      </c>
      <c r="R77" s="130" t="n"/>
      <c r="S77" s="40">
        <f>R77*$C77</f>
        <v/>
      </c>
      <c r="T77" s="130" t="n"/>
      <c r="U77" s="64">
        <f>T77*$C77</f>
        <v/>
      </c>
      <c r="V77" s="130" t="n"/>
      <c r="W77" s="38">
        <f>V77*$C77</f>
        <v/>
      </c>
      <c r="X77" s="130" t="n"/>
      <c r="Y77" s="38">
        <f>X77*$C77</f>
        <v/>
      </c>
      <c r="Z77" s="130" t="n"/>
      <c r="AA77" s="38">
        <f>Z77*$C77</f>
        <v/>
      </c>
      <c r="AB77" s="130" t="n"/>
      <c r="AC77" s="38">
        <f>AB77*$C77</f>
        <v/>
      </c>
      <c r="AD77" s="130" t="n"/>
      <c r="AE77" s="38">
        <f>AD77*$C77</f>
        <v/>
      </c>
      <c r="AF77" s="130" t="n"/>
      <c r="AG77" s="38">
        <f>AF77*$C77</f>
        <v/>
      </c>
      <c r="AH77" s="130" t="n"/>
      <c r="AI77" s="38">
        <f>AH77*$C77</f>
        <v/>
      </c>
      <c r="AJ77" s="130" t="n"/>
      <c r="AK77" s="38">
        <f>AJ77*$C77</f>
        <v/>
      </c>
      <c r="AL77" s="130" t="n"/>
      <c r="AM77" s="38">
        <f>AL77*$C77</f>
        <v/>
      </c>
      <c r="AN77" s="130" t="n"/>
      <c r="AO77" s="38">
        <f>AN77*$C77</f>
        <v/>
      </c>
      <c r="AP77" s="130" t="n"/>
      <c r="AQ77" s="38">
        <f>AP77*$C77</f>
        <v/>
      </c>
      <c r="AR77" s="130" t="n"/>
      <c r="AS77" s="38">
        <f>AR77*$C77</f>
        <v/>
      </c>
      <c r="AT77" s="130" t="n"/>
      <c r="AU77" s="38">
        <f>AT77*$C77</f>
        <v/>
      </c>
      <c r="AV77" s="130" t="n"/>
      <c r="AW77" s="38">
        <f>AV77*$C77</f>
        <v/>
      </c>
      <c r="AX77" s="130" t="n"/>
      <c r="AY77" s="38">
        <f>AX77*$C77</f>
        <v/>
      </c>
    </row>
    <row r="78">
      <c r="A78" s="56" t="inlineStr">
        <is>
          <t>SA07190OIC</t>
        </is>
      </c>
      <c r="B78" s="57" t="inlineStr">
        <is>
          <t>Process Claim Forms Deficiencies and Rejections: Opt-in or claim forms - Tier 6 (per form)</t>
        </is>
      </c>
      <c r="C78" s="126" t="n"/>
      <c r="D78" s="127" t="n"/>
      <c r="E78" s="38">
        <f>ROUND(C78*D78,2)</f>
        <v/>
      </c>
      <c r="F78" s="60" t="n"/>
      <c r="G78" s="128">
        <f t="array" ref="G78">SUMPRODUCT(L78:EZ78,--(MOD(COLUMN(L78:EZ78),2)=0))</f>
        <v/>
      </c>
      <c r="H78" s="38">
        <f t="array" ref="H78">SUMPRODUCT(L78:EZ78,MOD(COLUMN(L78:EZ78),2))</f>
        <v/>
      </c>
      <c r="I78" s="129">
        <f>D78-G78</f>
        <v/>
      </c>
      <c r="J78" s="40">
        <f>ROUND(E78,2)-ROUND(H78,2)</f>
        <v/>
      </c>
      <c r="K78" s="116">
        <f>IF(J78=0,"",IF(J78&lt;0,"IMPORTANT:  Over budget - Needs review","Currently at or under budget"))</f>
        <v/>
      </c>
      <c r="L78" s="130" t="n"/>
      <c r="M78" s="40">
        <f>L78*$C78</f>
        <v/>
      </c>
      <c r="N78" s="130" t="n"/>
      <c r="O78" s="40">
        <f>N78*$C78</f>
        <v/>
      </c>
      <c r="P78" s="130" t="n"/>
      <c r="Q78" s="40">
        <f>P78*$C78</f>
        <v/>
      </c>
      <c r="R78" s="130" t="n"/>
      <c r="S78" s="40">
        <f>R78*$C78</f>
        <v/>
      </c>
      <c r="T78" s="130" t="n"/>
      <c r="U78" s="64">
        <f>T78*$C78</f>
        <v/>
      </c>
      <c r="V78" s="130" t="n"/>
      <c r="W78" s="38">
        <f>V78*$C78</f>
        <v/>
      </c>
      <c r="X78" s="130" t="n"/>
      <c r="Y78" s="38">
        <f>X78*$C78</f>
        <v/>
      </c>
      <c r="Z78" s="130" t="n"/>
      <c r="AA78" s="38">
        <f>Z78*$C78</f>
        <v/>
      </c>
      <c r="AB78" s="130" t="n"/>
      <c r="AC78" s="38">
        <f>AB78*$C78</f>
        <v/>
      </c>
      <c r="AD78" s="130" t="n"/>
      <c r="AE78" s="38">
        <f>AD78*$C78</f>
        <v/>
      </c>
      <c r="AF78" s="130" t="n"/>
      <c r="AG78" s="38">
        <f>AF78*$C78</f>
        <v/>
      </c>
      <c r="AH78" s="130" t="n"/>
      <c r="AI78" s="38">
        <f>AH78*$C78</f>
        <v/>
      </c>
      <c r="AJ78" s="130" t="n"/>
      <c r="AK78" s="38">
        <f>AJ78*$C78</f>
        <v/>
      </c>
      <c r="AL78" s="130" t="n"/>
      <c r="AM78" s="38">
        <f>AL78*$C78</f>
        <v/>
      </c>
      <c r="AN78" s="130" t="n"/>
      <c r="AO78" s="38">
        <f>AN78*$C78</f>
        <v/>
      </c>
      <c r="AP78" s="130" t="n"/>
      <c r="AQ78" s="38">
        <f>AP78*$C78</f>
        <v/>
      </c>
      <c r="AR78" s="130" t="n"/>
      <c r="AS78" s="38">
        <f>AR78*$C78</f>
        <v/>
      </c>
      <c r="AT78" s="130" t="n"/>
      <c r="AU78" s="38">
        <f>AT78*$C78</f>
        <v/>
      </c>
      <c r="AV78" s="130" t="n"/>
      <c r="AW78" s="38">
        <f>AV78*$C78</f>
        <v/>
      </c>
      <c r="AX78" s="130" t="n"/>
      <c r="AY78" s="38">
        <f>AX78*$C78</f>
        <v/>
      </c>
    </row>
    <row r="79">
      <c r="A79" s="56" t="inlineStr">
        <is>
          <t>SA07310PCC</t>
        </is>
      </c>
      <c r="B79" s="57" t="inlineStr">
        <is>
          <t>Process Claim Forms Deficiencies and Rejections: Paper claims data entered (per form)</t>
        </is>
      </c>
      <c r="C79" s="126" t="n"/>
      <c r="D79" s="127" t="n"/>
      <c r="E79" s="38">
        <f>ROUND(C79*D79,2)</f>
        <v/>
      </c>
      <c r="F79" s="60" t="n"/>
      <c r="G79" s="128">
        <f t="array" ref="G79">SUMPRODUCT(L79:EZ79,--(MOD(COLUMN(L79:EZ79),2)=0))</f>
        <v/>
      </c>
      <c r="H79" s="38">
        <f t="array" ref="H79">SUMPRODUCT(L79:EZ79,MOD(COLUMN(L79:EZ79),2))</f>
        <v/>
      </c>
      <c r="I79" s="129">
        <f>D79-G79</f>
        <v/>
      </c>
      <c r="J79" s="40">
        <f>ROUND(E79,2)-ROUND(H79,2)</f>
        <v/>
      </c>
      <c r="K79" s="116">
        <f>IF(J79=0,"",IF(J79&lt;0,"IMPORTANT:  Over budget - Needs review","Currently at or under budget"))</f>
        <v/>
      </c>
      <c r="L79" s="130" t="n"/>
      <c r="M79" s="40">
        <f>L79*$C79</f>
        <v/>
      </c>
      <c r="N79" s="130" t="n"/>
      <c r="O79" s="40">
        <f>N79*$C79</f>
        <v/>
      </c>
      <c r="P79" s="130" t="n"/>
      <c r="Q79" s="40">
        <f>P79*$C79</f>
        <v/>
      </c>
      <c r="R79" s="130" t="n"/>
      <c r="S79" s="40">
        <f>R79*$C79</f>
        <v/>
      </c>
      <c r="T79" s="130" t="n"/>
      <c r="U79" s="64">
        <f>T79*$C79</f>
        <v/>
      </c>
      <c r="V79" s="130" t="n"/>
      <c r="W79" s="38">
        <f>V79*$C79</f>
        <v/>
      </c>
      <c r="X79" s="130" t="n"/>
      <c r="Y79" s="38">
        <f>X79*$C79</f>
        <v/>
      </c>
      <c r="Z79" s="130" t="n"/>
      <c r="AA79" s="38">
        <f>Z79*$C79</f>
        <v/>
      </c>
      <c r="AB79" s="130" t="n"/>
      <c r="AC79" s="38">
        <f>AB79*$C79</f>
        <v/>
      </c>
      <c r="AD79" s="130" t="n"/>
      <c r="AE79" s="38">
        <f>AD79*$C79</f>
        <v/>
      </c>
      <c r="AF79" s="130" t="n"/>
      <c r="AG79" s="38">
        <f>AF79*$C79</f>
        <v/>
      </c>
      <c r="AH79" s="130" t="n"/>
      <c r="AI79" s="38">
        <f>AH79*$C79</f>
        <v/>
      </c>
      <c r="AJ79" s="130" t="n"/>
      <c r="AK79" s="38">
        <f>AJ79*$C79</f>
        <v/>
      </c>
      <c r="AL79" s="130" t="n"/>
      <c r="AM79" s="38">
        <f>AL79*$C79</f>
        <v/>
      </c>
      <c r="AN79" s="130" t="n"/>
      <c r="AO79" s="38">
        <f>AN79*$C79</f>
        <v/>
      </c>
      <c r="AP79" s="130" t="n"/>
      <c r="AQ79" s="38">
        <f>AP79*$C79</f>
        <v/>
      </c>
      <c r="AR79" s="130" t="n"/>
      <c r="AS79" s="38">
        <f>AR79*$C79</f>
        <v/>
      </c>
      <c r="AT79" s="130" t="n"/>
      <c r="AU79" s="38">
        <f>AT79*$C79</f>
        <v/>
      </c>
      <c r="AV79" s="130" t="n"/>
      <c r="AW79" s="38">
        <f>AV79*$C79</f>
        <v/>
      </c>
      <c r="AX79" s="130" t="n"/>
      <c r="AY79" s="38">
        <f>AX79*$C79</f>
        <v/>
      </c>
    </row>
    <row r="80">
      <c r="A80" s="56" t="inlineStr">
        <is>
          <t>SA07340CFT</t>
        </is>
      </c>
      <c r="B80" s="57" t="inlineStr">
        <is>
          <t>Process Claim Forms Deficiencies and Rejections: Claims filed via telephone (per form)</t>
        </is>
      </c>
      <c r="C80" s="126" t="n"/>
      <c r="D80" s="127" t="n"/>
      <c r="E80" s="38">
        <f>ROUND(C80*D80,2)</f>
        <v/>
      </c>
      <c r="F80" s="60" t="n"/>
      <c r="G80" s="128">
        <f t="array" ref="G80">SUMPRODUCT(L80:EZ80,--(MOD(COLUMN(L80:EZ80),2)=0))</f>
        <v/>
      </c>
      <c r="H80" s="38">
        <f t="array" ref="H80">SUMPRODUCT(L80:EZ80,MOD(COLUMN(L80:EZ80),2))</f>
        <v/>
      </c>
      <c r="I80" s="129">
        <f>D80-G80</f>
        <v/>
      </c>
      <c r="J80" s="40">
        <f>ROUND(E80,2)-ROUND(H80,2)</f>
        <v/>
      </c>
      <c r="K80" s="116">
        <f>IF(J80=0,"",IF(J80&lt;0,"IMPORTANT:  Over budget - Needs review","Currently at or under budget"))</f>
        <v/>
      </c>
      <c r="L80" s="130" t="n"/>
      <c r="M80" s="40">
        <f>L80*$C80</f>
        <v/>
      </c>
      <c r="N80" s="130" t="n"/>
      <c r="O80" s="40">
        <f>N80*$C80</f>
        <v/>
      </c>
      <c r="P80" s="130" t="n"/>
      <c r="Q80" s="40">
        <f>P80*$C80</f>
        <v/>
      </c>
      <c r="R80" s="130" t="n"/>
      <c r="S80" s="40">
        <f>R80*$C80</f>
        <v/>
      </c>
      <c r="T80" s="130" t="n"/>
      <c r="U80" s="64">
        <f>T80*$C80</f>
        <v/>
      </c>
      <c r="V80" s="130" t="n"/>
      <c r="W80" s="38">
        <f>V80*$C80</f>
        <v/>
      </c>
      <c r="X80" s="130" t="n"/>
      <c r="Y80" s="38">
        <f>X80*$C80</f>
        <v/>
      </c>
      <c r="Z80" s="130" t="n"/>
      <c r="AA80" s="38">
        <f>Z80*$C80</f>
        <v/>
      </c>
      <c r="AB80" s="130" t="n"/>
      <c r="AC80" s="38">
        <f>AB80*$C80</f>
        <v/>
      </c>
      <c r="AD80" s="130" t="n"/>
      <c r="AE80" s="38">
        <f>AD80*$C80</f>
        <v/>
      </c>
      <c r="AF80" s="130" t="n"/>
      <c r="AG80" s="38">
        <f>AF80*$C80</f>
        <v/>
      </c>
      <c r="AH80" s="130" t="n"/>
      <c r="AI80" s="38">
        <f>AH80*$C80</f>
        <v/>
      </c>
      <c r="AJ80" s="130" t="n"/>
      <c r="AK80" s="38">
        <f>AJ80*$C80</f>
        <v/>
      </c>
      <c r="AL80" s="130" t="n"/>
      <c r="AM80" s="38">
        <f>AL80*$C80</f>
        <v/>
      </c>
      <c r="AN80" s="130" t="n"/>
      <c r="AO80" s="38">
        <f>AN80*$C80</f>
        <v/>
      </c>
      <c r="AP80" s="130" t="n"/>
      <c r="AQ80" s="38">
        <f>AP80*$C80</f>
        <v/>
      </c>
      <c r="AR80" s="130" t="n"/>
      <c r="AS80" s="38">
        <f>AR80*$C80</f>
        <v/>
      </c>
      <c r="AT80" s="130" t="n"/>
      <c r="AU80" s="38">
        <f>AT80*$C80</f>
        <v/>
      </c>
      <c r="AV80" s="130" t="n"/>
      <c r="AW80" s="38">
        <f>AV80*$C80</f>
        <v/>
      </c>
      <c r="AX80" s="130" t="n"/>
      <c r="AY80" s="38">
        <f>AX80*$C80</f>
        <v/>
      </c>
    </row>
    <row r="81">
      <c r="A81" s="56" t="inlineStr">
        <is>
          <t>SA07440OOC</t>
        </is>
      </c>
      <c r="B81" s="57" t="inlineStr">
        <is>
          <t>Process Claim Forms Deficiencies and Rejections: Online opt-in or claim forms (per form)</t>
        </is>
      </c>
      <c r="C81" s="126" t="n">
        <v>0.27</v>
      </c>
      <c r="D81" s="127" t="n">
        <v>21443</v>
      </c>
      <c r="E81" s="38">
        <f>ROUND(C81*D81,2)</f>
        <v/>
      </c>
      <c r="F81" s="60" t="n"/>
      <c r="G81" s="128">
        <f t="array" ref="G81">SUMPRODUCT(L81:EZ81,--(MOD(COLUMN(L81:EZ81),2)=0))</f>
        <v/>
      </c>
      <c r="H81" s="38">
        <f t="array" ref="H81">SUMPRODUCT(L81:EZ81,MOD(COLUMN(L81:EZ81),2))</f>
        <v/>
      </c>
      <c r="I81" s="129" t="n">
        <v>0</v>
      </c>
      <c r="J81" s="40">
        <f>ROUND(E81,2)-ROUND(H81,2)</f>
        <v/>
      </c>
      <c r="K81" s="116">
        <f>IF(J81=0,"",IF(J81&lt;0,"IMPORTANT:  Over budget - Needs review","Currently at or under budget"))</f>
        <v/>
      </c>
      <c r="L81" s="130" t="n"/>
      <c r="M81" s="40">
        <f>L81*$C81</f>
        <v/>
      </c>
      <c r="N81" s="130" t="n"/>
      <c r="O81" s="40">
        <f>N81*$C81</f>
        <v/>
      </c>
      <c r="P81" s="130" t="n"/>
      <c r="Q81" s="40">
        <f>P81*$C81</f>
        <v/>
      </c>
      <c r="R81" s="130" t="n"/>
      <c r="S81" s="40">
        <f>R81*$C81</f>
        <v/>
      </c>
      <c r="T81" s="130" t="n"/>
      <c r="U81" s="64">
        <f>T81*$C81</f>
        <v/>
      </c>
      <c r="V81" s="130" t="n"/>
      <c r="W81" s="38">
        <f>V81*$C81</f>
        <v/>
      </c>
      <c r="X81" s="130" t="n"/>
      <c r="Y81" s="38">
        <f>X81*$C81</f>
        <v/>
      </c>
      <c r="Z81" s="130" t="n"/>
      <c r="AA81" s="38">
        <f>Z81*$C81</f>
        <v/>
      </c>
      <c r="AB81" s="130" t="n"/>
      <c r="AC81" s="38">
        <f>AB81*$C81</f>
        <v/>
      </c>
      <c r="AD81" s="130" t="n"/>
      <c r="AE81" s="38">
        <f>AD81*$C81</f>
        <v/>
      </c>
      <c r="AF81" s="130" t="n"/>
      <c r="AG81" s="38">
        <f>AF81*$C81</f>
        <v/>
      </c>
      <c r="AH81" s="130" t="n"/>
      <c r="AI81" s="38">
        <f>AH81*$C81</f>
        <v/>
      </c>
      <c r="AJ81" s="130" t="n"/>
      <c r="AK81" s="38">
        <f>AJ81*$C81</f>
        <v/>
      </c>
      <c r="AL81" s="130" t="n"/>
      <c r="AM81" s="38">
        <f>AL81*$C81</f>
        <v/>
      </c>
      <c r="AN81" s="130" t="n"/>
      <c r="AO81" s="38">
        <f>AN81*$C81</f>
        <v/>
      </c>
      <c r="AP81" s="130" t="n"/>
      <c r="AQ81" s="38">
        <f>AP81*$C81</f>
        <v/>
      </c>
      <c r="AR81" s="130" t="n"/>
      <c r="AS81" s="38">
        <f>AR81*$C81</f>
        <v/>
      </c>
      <c r="AT81" s="130" t="n"/>
      <c r="AU81" s="38">
        <f>AT81*$C81</f>
        <v/>
      </c>
      <c r="AV81" s="130" t="n"/>
      <c r="AW81" s="38">
        <f>AV81*$C81</f>
        <v/>
      </c>
      <c r="AX81" s="130" t="n"/>
      <c r="AY81" s="38">
        <f>AX81*$C81</f>
        <v/>
      </c>
    </row>
    <row r="82">
      <c r="A82" s="56" t="inlineStr">
        <is>
          <t>SA07445OOC</t>
        </is>
      </c>
      <c r="B82" s="57" t="inlineStr">
        <is>
          <t>Process Claim Forms Deficiencies and Rejections: Online opt-in or claim forms - Tier 1 (per form)</t>
        </is>
      </c>
      <c r="C82" s="126" t="n"/>
      <c r="D82" s="127" t="n"/>
      <c r="E82" s="38">
        <f>ROUND(C82*D82,2)</f>
        <v/>
      </c>
      <c r="F82" s="60" t="n"/>
      <c r="G82" s="128">
        <f t="array" ref="G82">SUMPRODUCT(L82:EZ82,--(MOD(COLUMN(L82:EZ82),2)=0))</f>
        <v/>
      </c>
      <c r="H82" s="38">
        <f t="array" ref="H82">SUMPRODUCT(L82:EZ82,MOD(COLUMN(L82:EZ82),2))</f>
        <v/>
      </c>
      <c r="I82" s="129">
        <f>D82-G82</f>
        <v/>
      </c>
      <c r="J82" s="40">
        <f>ROUND(E82,2)-ROUND(H82,2)</f>
        <v/>
      </c>
      <c r="K82" s="116">
        <f>IF(J82=0,"",IF(J82&lt;0,"IMPORTANT:  Over budget - Needs review","Currently at or under budget"))</f>
        <v/>
      </c>
      <c r="L82" s="130" t="n"/>
      <c r="M82" s="40">
        <f>L82*$C82</f>
        <v/>
      </c>
      <c r="N82" s="130" t="n"/>
      <c r="O82" s="40">
        <f>N82*$C82</f>
        <v/>
      </c>
      <c r="P82" s="130" t="n"/>
      <c r="Q82" s="40">
        <f>P82*$C82</f>
        <v/>
      </c>
      <c r="R82" s="130" t="n"/>
      <c r="S82" s="40">
        <f>R82*$C82</f>
        <v/>
      </c>
      <c r="T82" s="130" t="n"/>
      <c r="U82" s="64">
        <f>T82*$C82</f>
        <v/>
      </c>
      <c r="V82" s="130" t="n"/>
      <c r="W82" s="38">
        <f>V82*$C82</f>
        <v/>
      </c>
      <c r="X82" s="130" t="n"/>
      <c r="Y82" s="38">
        <f>X82*$C82</f>
        <v/>
      </c>
      <c r="Z82" s="130" t="n"/>
      <c r="AA82" s="38">
        <f>Z82*$C82</f>
        <v/>
      </c>
      <c r="AB82" s="130" t="n"/>
      <c r="AC82" s="38">
        <f>AB82*$C82</f>
        <v/>
      </c>
      <c r="AD82" s="130" t="n"/>
      <c r="AE82" s="38">
        <f>AD82*$C82</f>
        <v/>
      </c>
      <c r="AF82" s="130" t="n"/>
      <c r="AG82" s="38">
        <f>AF82*$C82</f>
        <v/>
      </c>
      <c r="AH82" s="130" t="n"/>
      <c r="AI82" s="38">
        <f>AH82*$C82</f>
        <v/>
      </c>
      <c r="AJ82" s="130" t="n"/>
      <c r="AK82" s="38">
        <f>AJ82*$C82</f>
        <v/>
      </c>
      <c r="AL82" s="130" t="n"/>
      <c r="AM82" s="38">
        <f>AL82*$C82</f>
        <v/>
      </c>
      <c r="AN82" s="130" t="n"/>
      <c r="AO82" s="38">
        <f>AN82*$C82</f>
        <v/>
      </c>
      <c r="AP82" s="130" t="n"/>
      <c r="AQ82" s="38">
        <f>AP82*$C82</f>
        <v/>
      </c>
      <c r="AR82" s="130" t="n"/>
      <c r="AS82" s="38">
        <f>AR82*$C82</f>
        <v/>
      </c>
      <c r="AT82" s="130" t="n"/>
      <c r="AU82" s="38">
        <f>AT82*$C82</f>
        <v/>
      </c>
      <c r="AV82" s="130" t="n"/>
      <c r="AW82" s="38">
        <f>AV82*$C82</f>
        <v/>
      </c>
      <c r="AX82" s="130" t="n"/>
      <c r="AY82" s="38">
        <f>AX82*$C82</f>
        <v/>
      </c>
    </row>
    <row r="83">
      <c r="A83" s="56" t="inlineStr">
        <is>
          <t>SA07446OOC</t>
        </is>
      </c>
      <c r="B83" s="57" t="inlineStr">
        <is>
          <t>Process Claim Forms Deficiencies and Rejections: Online opt-in or claim forms - Tier 2 (per form)</t>
        </is>
      </c>
      <c r="C83" s="126" t="n"/>
      <c r="D83" s="127" t="n"/>
      <c r="E83" s="38">
        <f>ROUND(C83*D83,2)</f>
        <v/>
      </c>
      <c r="F83" s="60" t="n"/>
      <c r="G83" s="128">
        <f t="array" ref="G83">SUMPRODUCT(L83:EZ83,--(MOD(COLUMN(L83:EZ83),2)=0))</f>
        <v/>
      </c>
      <c r="H83" s="38">
        <f t="array" ref="H83">SUMPRODUCT(L83:EZ83,MOD(COLUMN(L83:EZ83),2))</f>
        <v/>
      </c>
      <c r="I83" s="129">
        <f>D83-G83</f>
        <v/>
      </c>
      <c r="J83" s="40">
        <f>ROUND(E83,2)-ROUND(H83,2)</f>
        <v/>
      </c>
      <c r="K83" s="116">
        <f>IF(J83=0,"",IF(J83&lt;0,"IMPORTANT:  Over budget - Needs review","Currently at or under budget"))</f>
        <v/>
      </c>
      <c r="L83" s="130" t="n"/>
      <c r="M83" s="40">
        <f>L83*$C83</f>
        <v/>
      </c>
      <c r="N83" s="130" t="n"/>
      <c r="O83" s="40">
        <f>N83*$C83</f>
        <v/>
      </c>
      <c r="P83" s="130" t="n"/>
      <c r="Q83" s="40">
        <f>P83*$C83</f>
        <v/>
      </c>
      <c r="R83" s="130" t="n"/>
      <c r="S83" s="40">
        <f>R83*$C83</f>
        <v/>
      </c>
      <c r="T83" s="130" t="n"/>
      <c r="U83" s="64">
        <f>T83*$C83</f>
        <v/>
      </c>
      <c r="V83" s="130" t="n"/>
      <c r="W83" s="38">
        <f>V83*$C83</f>
        <v/>
      </c>
      <c r="X83" s="130" t="n"/>
      <c r="Y83" s="38">
        <f>X83*$C83</f>
        <v/>
      </c>
      <c r="Z83" s="130" t="n"/>
      <c r="AA83" s="38">
        <f>Z83*$C83</f>
        <v/>
      </c>
      <c r="AB83" s="130" t="n"/>
      <c r="AC83" s="38">
        <f>AB83*$C83</f>
        <v/>
      </c>
      <c r="AD83" s="130" t="n"/>
      <c r="AE83" s="38">
        <f>AD83*$C83</f>
        <v/>
      </c>
      <c r="AF83" s="130" t="n"/>
      <c r="AG83" s="38">
        <f>AF83*$C83</f>
        <v/>
      </c>
      <c r="AH83" s="130" t="n"/>
      <c r="AI83" s="38">
        <f>AH83*$C83</f>
        <v/>
      </c>
      <c r="AJ83" s="130" t="n"/>
      <c r="AK83" s="38">
        <f>AJ83*$C83</f>
        <v/>
      </c>
      <c r="AL83" s="130" t="n"/>
      <c r="AM83" s="38">
        <f>AL83*$C83</f>
        <v/>
      </c>
      <c r="AN83" s="130" t="n"/>
      <c r="AO83" s="38">
        <f>AN83*$C83</f>
        <v/>
      </c>
      <c r="AP83" s="130" t="n"/>
      <c r="AQ83" s="38">
        <f>AP83*$C83</f>
        <v/>
      </c>
      <c r="AR83" s="130" t="n"/>
      <c r="AS83" s="38">
        <f>AR83*$C83</f>
        <v/>
      </c>
      <c r="AT83" s="130" t="n"/>
      <c r="AU83" s="38">
        <f>AT83*$C83</f>
        <v/>
      </c>
      <c r="AV83" s="130" t="n"/>
      <c r="AW83" s="38">
        <f>AV83*$C83</f>
        <v/>
      </c>
      <c r="AX83" s="130" t="n"/>
      <c r="AY83" s="38">
        <f>AX83*$C83</f>
        <v/>
      </c>
    </row>
    <row r="84">
      <c r="A84" s="56" t="inlineStr">
        <is>
          <t>SA07447OOC</t>
        </is>
      </c>
      <c r="B84" s="57" t="inlineStr">
        <is>
          <t>Process Claim Forms Deficiencies and Rejections: Online opt-in or claim forms - Tier 3 (per form)</t>
        </is>
      </c>
      <c r="C84" s="126" t="n"/>
      <c r="D84" s="127" t="n"/>
      <c r="E84" s="38">
        <f>ROUND(C84*D84,2)</f>
        <v/>
      </c>
      <c r="F84" s="60" t="n"/>
      <c r="G84" s="128">
        <f t="array" ref="G84">SUMPRODUCT(L84:EZ84,--(MOD(COLUMN(L84:EZ84),2)=0))</f>
        <v/>
      </c>
      <c r="H84" s="38">
        <f t="array" ref="H84">SUMPRODUCT(L84:EZ84,MOD(COLUMN(L84:EZ84),2))</f>
        <v/>
      </c>
      <c r="I84" s="129">
        <f>D84-G84</f>
        <v/>
      </c>
      <c r="J84" s="40">
        <f>ROUND(E84,2)-ROUND(H84,2)</f>
        <v/>
      </c>
      <c r="K84" s="116">
        <f>IF(J84=0,"",IF(J84&lt;0,"IMPORTANT:  Over budget - Needs review","Currently at or under budget"))</f>
        <v/>
      </c>
      <c r="L84" s="130" t="n"/>
      <c r="M84" s="40">
        <f>L84*$C84</f>
        <v/>
      </c>
      <c r="N84" s="130" t="n"/>
      <c r="O84" s="40">
        <f>N84*$C84</f>
        <v/>
      </c>
      <c r="P84" s="130" t="n"/>
      <c r="Q84" s="40">
        <f>P84*$C84</f>
        <v/>
      </c>
      <c r="R84" s="130" t="n"/>
      <c r="S84" s="40">
        <f>R84*$C84</f>
        <v/>
      </c>
      <c r="T84" s="130" t="n"/>
      <c r="U84" s="64">
        <f>T84*$C84</f>
        <v/>
      </c>
      <c r="V84" s="130" t="n"/>
      <c r="W84" s="38">
        <f>V84*$C84</f>
        <v/>
      </c>
      <c r="X84" s="130" t="n"/>
      <c r="Y84" s="38">
        <f>X84*$C84</f>
        <v/>
      </c>
      <c r="Z84" s="130" t="n"/>
      <c r="AA84" s="38">
        <f>Z84*$C84</f>
        <v/>
      </c>
      <c r="AB84" s="130" t="n"/>
      <c r="AC84" s="38">
        <f>AB84*$C84</f>
        <v/>
      </c>
      <c r="AD84" s="130" t="n"/>
      <c r="AE84" s="38">
        <f>AD84*$C84</f>
        <v/>
      </c>
      <c r="AF84" s="130" t="n"/>
      <c r="AG84" s="38">
        <f>AF84*$C84</f>
        <v/>
      </c>
      <c r="AH84" s="130" t="n"/>
      <c r="AI84" s="38">
        <f>AH84*$C84</f>
        <v/>
      </c>
      <c r="AJ84" s="130" t="n"/>
      <c r="AK84" s="38">
        <f>AJ84*$C84</f>
        <v/>
      </c>
      <c r="AL84" s="130" t="n"/>
      <c r="AM84" s="38">
        <f>AL84*$C84</f>
        <v/>
      </c>
      <c r="AN84" s="130" t="n"/>
      <c r="AO84" s="38">
        <f>AN84*$C84</f>
        <v/>
      </c>
      <c r="AP84" s="130" t="n"/>
      <c r="AQ84" s="38">
        <f>AP84*$C84</f>
        <v/>
      </c>
      <c r="AR84" s="130" t="n"/>
      <c r="AS84" s="38">
        <f>AR84*$C84</f>
        <v/>
      </c>
      <c r="AT84" s="130" t="n"/>
      <c r="AU84" s="38">
        <f>AT84*$C84</f>
        <v/>
      </c>
      <c r="AV84" s="130" t="n"/>
      <c r="AW84" s="38">
        <f>AV84*$C84</f>
        <v/>
      </c>
      <c r="AX84" s="130" t="n"/>
      <c r="AY84" s="38">
        <f>AX84*$C84</f>
        <v/>
      </c>
    </row>
    <row r="85">
      <c r="A85" s="56" t="inlineStr">
        <is>
          <t>SA07448OOC</t>
        </is>
      </c>
      <c r="B85" s="57" t="inlineStr">
        <is>
          <t>Process Claim Forms Deficiencies and Rejections: Online opt-in or claim forms - Tier 4 (per form)</t>
        </is>
      </c>
      <c r="C85" s="126" t="n"/>
      <c r="D85" s="127" t="n"/>
      <c r="E85" s="38">
        <f>ROUND(C85*D85,2)</f>
        <v/>
      </c>
      <c r="F85" s="60" t="n"/>
      <c r="G85" s="128">
        <f t="array" ref="G85">SUMPRODUCT(L85:EZ85,--(MOD(COLUMN(L85:EZ85),2)=0))</f>
        <v/>
      </c>
      <c r="H85" s="38">
        <f t="array" ref="H85">SUMPRODUCT(L85:EZ85,MOD(COLUMN(L85:EZ85),2))</f>
        <v/>
      </c>
      <c r="I85" s="129">
        <f>D85-G85</f>
        <v/>
      </c>
      <c r="J85" s="40">
        <f>ROUND(E85,2)-ROUND(H85,2)</f>
        <v/>
      </c>
      <c r="K85" s="116">
        <f>IF(J85=0,"",IF(J85&lt;0,"IMPORTANT:  Over budget - Needs review","Currently at or under budget"))</f>
        <v/>
      </c>
      <c r="L85" s="130" t="n"/>
      <c r="M85" s="40">
        <f>L85*$C85</f>
        <v/>
      </c>
      <c r="N85" s="130" t="n"/>
      <c r="O85" s="40">
        <f>N85*$C85</f>
        <v/>
      </c>
      <c r="P85" s="130" t="n"/>
      <c r="Q85" s="40">
        <f>P85*$C85</f>
        <v/>
      </c>
      <c r="R85" s="130" t="n"/>
      <c r="S85" s="40">
        <f>R85*$C85</f>
        <v/>
      </c>
      <c r="T85" s="130" t="n"/>
      <c r="U85" s="64">
        <f>T85*$C85</f>
        <v/>
      </c>
      <c r="V85" s="130" t="n"/>
      <c r="W85" s="38">
        <f>V85*$C85</f>
        <v/>
      </c>
      <c r="X85" s="130" t="n"/>
      <c r="Y85" s="38">
        <f>X85*$C85</f>
        <v/>
      </c>
      <c r="Z85" s="130" t="n"/>
      <c r="AA85" s="38">
        <f>Z85*$C85</f>
        <v/>
      </c>
      <c r="AB85" s="130" t="n"/>
      <c r="AC85" s="38">
        <f>AB85*$C85</f>
        <v/>
      </c>
      <c r="AD85" s="130" t="n"/>
      <c r="AE85" s="38">
        <f>AD85*$C85</f>
        <v/>
      </c>
      <c r="AF85" s="130" t="n"/>
      <c r="AG85" s="38">
        <f>AF85*$C85</f>
        <v/>
      </c>
      <c r="AH85" s="130" t="n"/>
      <c r="AI85" s="38">
        <f>AH85*$C85</f>
        <v/>
      </c>
      <c r="AJ85" s="130" t="n"/>
      <c r="AK85" s="38">
        <f>AJ85*$C85</f>
        <v/>
      </c>
      <c r="AL85" s="130" t="n"/>
      <c r="AM85" s="38">
        <f>AL85*$C85</f>
        <v/>
      </c>
      <c r="AN85" s="130" t="n"/>
      <c r="AO85" s="38">
        <f>AN85*$C85</f>
        <v/>
      </c>
      <c r="AP85" s="130" t="n"/>
      <c r="AQ85" s="38">
        <f>AP85*$C85</f>
        <v/>
      </c>
      <c r="AR85" s="130" t="n"/>
      <c r="AS85" s="38">
        <f>AR85*$C85</f>
        <v/>
      </c>
      <c r="AT85" s="130" t="n"/>
      <c r="AU85" s="38">
        <f>AT85*$C85</f>
        <v/>
      </c>
      <c r="AV85" s="130" t="n"/>
      <c r="AW85" s="38">
        <f>AV85*$C85</f>
        <v/>
      </c>
      <c r="AX85" s="130" t="n"/>
      <c r="AY85" s="38">
        <f>AX85*$C85</f>
        <v/>
      </c>
    </row>
    <row r="86">
      <c r="A86" s="56" t="inlineStr">
        <is>
          <t>SA07449OOC</t>
        </is>
      </c>
      <c r="B86" s="57" t="inlineStr">
        <is>
          <t>Process Claim Forms Deficiencies and Rejections: Online opt-in or claim forms - Tier 5 (per form)</t>
        </is>
      </c>
      <c r="C86" s="126" t="n"/>
      <c r="D86" s="127" t="n"/>
      <c r="E86" s="38">
        <f>ROUND(C86*D86,2)</f>
        <v/>
      </c>
      <c r="F86" s="60" t="n"/>
      <c r="G86" s="128">
        <f t="array" ref="G86">SUMPRODUCT(L86:EZ86,--(MOD(COLUMN(L86:EZ86),2)=0))</f>
        <v/>
      </c>
      <c r="H86" s="38">
        <f t="array" ref="H86">SUMPRODUCT(L86:EZ86,MOD(COLUMN(L86:EZ86),2))</f>
        <v/>
      </c>
      <c r="I86" s="129">
        <f>D86-G86</f>
        <v/>
      </c>
      <c r="J86" s="40">
        <f>ROUND(E86,2)-ROUND(H86,2)</f>
        <v/>
      </c>
      <c r="K86" s="116">
        <f>IF(J86=0,"",IF(J86&lt;0,"IMPORTANT:  Over budget - Needs review","Currently at or under budget"))</f>
        <v/>
      </c>
      <c r="L86" s="130" t="n"/>
      <c r="M86" s="40">
        <f>L86*$C86</f>
        <v/>
      </c>
      <c r="N86" s="130" t="n"/>
      <c r="O86" s="40">
        <f>N86*$C86</f>
        <v/>
      </c>
      <c r="P86" s="130" t="n"/>
      <c r="Q86" s="40">
        <f>P86*$C86</f>
        <v/>
      </c>
      <c r="R86" s="130" t="n"/>
      <c r="S86" s="40">
        <f>R86*$C86</f>
        <v/>
      </c>
      <c r="T86" s="130" t="n"/>
      <c r="U86" s="64">
        <f>T86*$C86</f>
        <v/>
      </c>
      <c r="V86" s="130" t="n"/>
      <c r="W86" s="38">
        <f>V86*$C86</f>
        <v/>
      </c>
      <c r="X86" s="130" t="n"/>
      <c r="Y86" s="38">
        <f>X86*$C86</f>
        <v/>
      </c>
      <c r="Z86" s="130" t="n"/>
      <c r="AA86" s="38">
        <f>Z86*$C86</f>
        <v/>
      </c>
      <c r="AB86" s="130" t="n"/>
      <c r="AC86" s="38">
        <f>AB86*$C86</f>
        <v/>
      </c>
      <c r="AD86" s="130" t="n"/>
      <c r="AE86" s="38">
        <f>AD86*$C86</f>
        <v/>
      </c>
      <c r="AF86" s="130" t="n"/>
      <c r="AG86" s="38">
        <f>AF86*$C86</f>
        <v/>
      </c>
      <c r="AH86" s="130" t="n"/>
      <c r="AI86" s="38">
        <f>AH86*$C86</f>
        <v/>
      </c>
      <c r="AJ86" s="130" t="n"/>
      <c r="AK86" s="38">
        <f>AJ86*$C86</f>
        <v/>
      </c>
      <c r="AL86" s="130" t="n"/>
      <c r="AM86" s="38">
        <f>AL86*$C86</f>
        <v/>
      </c>
      <c r="AN86" s="130" t="n"/>
      <c r="AO86" s="38">
        <f>AN86*$C86</f>
        <v/>
      </c>
      <c r="AP86" s="130" t="n"/>
      <c r="AQ86" s="38">
        <f>AP86*$C86</f>
        <v/>
      </c>
      <c r="AR86" s="130" t="n"/>
      <c r="AS86" s="38">
        <f>AR86*$C86</f>
        <v/>
      </c>
      <c r="AT86" s="130" t="n"/>
      <c r="AU86" s="38">
        <f>AT86*$C86</f>
        <v/>
      </c>
      <c r="AV86" s="130" t="n"/>
      <c r="AW86" s="38">
        <f>AV86*$C86</f>
        <v/>
      </c>
      <c r="AX86" s="130" t="n"/>
      <c r="AY86" s="38">
        <f>AX86*$C86</f>
        <v/>
      </c>
    </row>
    <row r="87">
      <c r="A87" s="56" t="inlineStr">
        <is>
          <t>SA07450OOC</t>
        </is>
      </c>
      <c r="B87" s="57" t="inlineStr">
        <is>
          <t>Process Claim Forms Deficiencies and Rejections: Online opt-in or claim forms - Tier 6 (per form)</t>
        </is>
      </c>
      <c r="C87" s="126" t="n"/>
      <c r="D87" s="127" t="n"/>
      <c r="E87" s="38">
        <f>ROUND(C87*D87,2)</f>
        <v/>
      </c>
      <c r="F87" s="60" t="n"/>
      <c r="G87" s="128">
        <f t="array" ref="G87">SUMPRODUCT(L87:EZ87,--(MOD(COLUMN(L87:EZ87),2)=0))</f>
        <v/>
      </c>
      <c r="H87" s="38">
        <f t="array" ref="H87">SUMPRODUCT(L87:EZ87,MOD(COLUMN(L87:EZ87),2))</f>
        <v/>
      </c>
      <c r="I87" s="129">
        <f>D87-G87</f>
        <v/>
      </c>
      <c r="J87" s="40">
        <f>ROUND(E87,2)-ROUND(H87,2)</f>
        <v/>
      </c>
      <c r="K87" s="116">
        <f>IF(J87=0,"",IF(J87&lt;0,"IMPORTANT:  Over budget - Needs review","Currently at or under budget"))</f>
        <v/>
      </c>
      <c r="L87" s="130" t="n"/>
      <c r="M87" s="40">
        <f>L87*$C87</f>
        <v/>
      </c>
      <c r="N87" s="130" t="n"/>
      <c r="O87" s="40">
        <f>N87*$C87</f>
        <v/>
      </c>
      <c r="P87" s="130" t="n"/>
      <c r="Q87" s="40">
        <f>P87*$C87</f>
        <v/>
      </c>
      <c r="R87" s="130" t="n"/>
      <c r="S87" s="40">
        <f>R87*$C87</f>
        <v/>
      </c>
      <c r="T87" s="130" t="n"/>
      <c r="U87" s="64">
        <f>T87*$C87</f>
        <v/>
      </c>
      <c r="V87" s="130" t="n"/>
      <c r="W87" s="38">
        <f>V87*$C87</f>
        <v/>
      </c>
      <c r="X87" s="130" t="n"/>
      <c r="Y87" s="38">
        <f>X87*$C87</f>
        <v/>
      </c>
      <c r="Z87" s="130" t="n"/>
      <c r="AA87" s="38">
        <f>Z87*$C87</f>
        <v/>
      </c>
      <c r="AB87" s="130" t="n"/>
      <c r="AC87" s="38">
        <f>AB87*$C87</f>
        <v/>
      </c>
      <c r="AD87" s="130" t="n"/>
      <c r="AE87" s="38">
        <f>AD87*$C87</f>
        <v/>
      </c>
      <c r="AF87" s="130" t="n"/>
      <c r="AG87" s="38">
        <f>AF87*$C87</f>
        <v/>
      </c>
      <c r="AH87" s="130" t="n"/>
      <c r="AI87" s="38">
        <f>AH87*$C87</f>
        <v/>
      </c>
      <c r="AJ87" s="130" t="n"/>
      <c r="AK87" s="38">
        <f>AJ87*$C87</f>
        <v/>
      </c>
      <c r="AL87" s="130" t="n"/>
      <c r="AM87" s="38">
        <f>AL87*$C87</f>
        <v/>
      </c>
      <c r="AN87" s="130" t="n"/>
      <c r="AO87" s="38">
        <f>AN87*$C87</f>
        <v/>
      </c>
      <c r="AP87" s="130" t="n"/>
      <c r="AQ87" s="38">
        <f>AP87*$C87</f>
        <v/>
      </c>
      <c r="AR87" s="130" t="n"/>
      <c r="AS87" s="38">
        <f>AR87*$C87</f>
        <v/>
      </c>
      <c r="AT87" s="130" t="n"/>
      <c r="AU87" s="38">
        <f>AT87*$C87</f>
        <v/>
      </c>
      <c r="AV87" s="130" t="n"/>
      <c r="AW87" s="38">
        <f>AV87*$C87</f>
        <v/>
      </c>
      <c r="AX87" s="130" t="n"/>
      <c r="AY87" s="38">
        <f>AX87*$C87</f>
        <v/>
      </c>
    </row>
    <row r="88">
      <c r="A88" s="56" t="inlineStr">
        <is>
          <t>SA0750BOF</t>
        </is>
      </c>
      <c r="B88" s="57" t="inlineStr">
        <is>
          <t>Process Claim Forms Deficiencies and Rejections: Bulk opt-in or claim forms (per form)</t>
        </is>
      </c>
      <c r="C88" s="126" t="n"/>
      <c r="D88" s="127" t="n"/>
      <c r="E88" s="38">
        <f>ROUND(C88*D88,2)</f>
        <v/>
      </c>
      <c r="F88" s="60" t="n"/>
      <c r="G88" s="128">
        <f t="array" ref="G88">SUMPRODUCT(L88:EZ88,--(MOD(COLUMN(L88:EZ88),2)=0))</f>
        <v/>
      </c>
      <c r="H88" s="38">
        <f t="array" ref="H88">SUMPRODUCT(L88:EZ88,MOD(COLUMN(L88:EZ88),2))</f>
        <v/>
      </c>
      <c r="I88" s="129">
        <f>D88-G88</f>
        <v/>
      </c>
      <c r="J88" s="40">
        <f>ROUND(E88,2)-ROUND(H88,2)</f>
        <v/>
      </c>
      <c r="K88" s="116">
        <f>IF(J88=0,"",IF(J88&lt;0,"IMPORTANT:  Over budget - Needs review","Currently at or under budget"))</f>
        <v/>
      </c>
      <c r="L88" s="130" t="n"/>
      <c r="M88" s="40">
        <f>L88*$C88</f>
        <v/>
      </c>
      <c r="N88" s="130" t="n"/>
      <c r="O88" s="40">
        <f>N88*$C88</f>
        <v/>
      </c>
      <c r="P88" s="130" t="n"/>
      <c r="Q88" s="40">
        <f>P88*$C88</f>
        <v/>
      </c>
      <c r="R88" s="130" t="n"/>
      <c r="S88" s="40">
        <f>R88*$C88</f>
        <v/>
      </c>
      <c r="T88" s="130" t="n"/>
      <c r="U88" s="64">
        <f>T88*$C88</f>
        <v/>
      </c>
      <c r="V88" s="130" t="n"/>
      <c r="W88" s="38">
        <f>V88*$C88</f>
        <v/>
      </c>
      <c r="X88" s="130" t="n"/>
      <c r="Y88" s="38">
        <f>X88*$C88</f>
        <v/>
      </c>
      <c r="Z88" s="130" t="n"/>
      <c r="AA88" s="38">
        <f>Z88*$C88</f>
        <v/>
      </c>
      <c r="AB88" s="130" t="n"/>
      <c r="AC88" s="38">
        <f>AB88*$C88</f>
        <v/>
      </c>
      <c r="AD88" s="130" t="n"/>
      <c r="AE88" s="38">
        <f>AD88*$C88</f>
        <v/>
      </c>
      <c r="AF88" s="130" t="n"/>
      <c r="AG88" s="38">
        <f>AF88*$C88</f>
        <v/>
      </c>
      <c r="AH88" s="130" t="n"/>
      <c r="AI88" s="38">
        <f>AH88*$C88</f>
        <v/>
      </c>
      <c r="AJ88" s="130" t="n"/>
      <c r="AK88" s="38">
        <f>AJ88*$C88</f>
        <v/>
      </c>
      <c r="AL88" s="130" t="n"/>
      <c r="AM88" s="38">
        <f>AL88*$C88</f>
        <v/>
      </c>
      <c r="AN88" s="130" t="n"/>
      <c r="AO88" s="38">
        <f>AN88*$C88</f>
        <v/>
      </c>
      <c r="AP88" s="130" t="n"/>
      <c r="AQ88" s="38">
        <f>AP88*$C88</f>
        <v/>
      </c>
      <c r="AR88" s="130" t="n"/>
      <c r="AS88" s="38">
        <f>AR88*$C88</f>
        <v/>
      </c>
      <c r="AT88" s="130" t="n"/>
      <c r="AU88" s="38">
        <f>AT88*$C88</f>
        <v/>
      </c>
      <c r="AV88" s="130" t="n"/>
      <c r="AW88" s="38">
        <f>AV88*$C88</f>
        <v/>
      </c>
      <c r="AX88" s="130" t="n"/>
      <c r="AY88" s="38">
        <f>AX88*$C88</f>
        <v/>
      </c>
    </row>
    <row r="89">
      <c r="A89" s="56" t="inlineStr">
        <is>
          <t>SA0751BOF</t>
        </is>
      </c>
      <c r="B89" s="57" t="inlineStr">
        <is>
          <t>Process Claim Forms Deficiencies and Rejections: Bulk opt-in or claim forms - Tier 1 (per form)</t>
        </is>
      </c>
      <c r="C89" s="126" t="n"/>
      <c r="D89" s="127" t="n"/>
      <c r="E89" s="38">
        <f>ROUND(C89*D89,2)</f>
        <v/>
      </c>
      <c r="F89" s="60" t="n"/>
      <c r="G89" s="128">
        <f t="array" ref="G89">SUMPRODUCT(L89:EZ89,--(MOD(COLUMN(L89:EZ89),2)=0))</f>
        <v/>
      </c>
      <c r="H89" s="38">
        <f t="array" ref="H89">SUMPRODUCT(L89:EZ89,MOD(COLUMN(L89:EZ89),2))</f>
        <v/>
      </c>
      <c r="I89" s="129">
        <f>D89-G89</f>
        <v/>
      </c>
      <c r="J89" s="40">
        <f>ROUND(E89,2)-ROUND(H89,2)</f>
        <v/>
      </c>
      <c r="K89" s="116">
        <f>IF(J89=0,"",IF(J89&lt;0,"IMPORTANT:  Over budget - Needs review","Currently at or under budget"))</f>
        <v/>
      </c>
      <c r="L89" s="130" t="n"/>
      <c r="M89" s="40">
        <f>L89*$C89</f>
        <v/>
      </c>
      <c r="N89" s="130" t="n"/>
      <c r="O89" s="40">
        <f>N89*$C89</f>
        <v/>
      </c>
      <c r="P89" s="130" t="n"/>
      <c r="Q89" s="40">
        <f>P89*$C89</f>
        <v/>
      </c>
      <c r="R89" s="130" t="n"/>
      <c r="S89" s="40">
        <f>R89*$C89</f>
        <v/>
      </c>
      <c r="T89" s="130" t="n"/>
      <c r="U89" s="64">
        <f>T89*$C89</f>
        <v/>
      </c>
      <c r="V89" s="130" t="n"/>
      <c r="W89" s="38">
        <f>V89*$C89</f>
        <v/>
      </c>
      <c r="X89" s="130" t="n"/>
      <c r="Y89" s="38">
        <f>X89*$C89</f>
        <v/>
      </c>
      <c r="Z89" s="130" t="n"/>
      <c r="AA89" s="38">
        <f>Z89*$C89</f>
        <v/>
      </c>
      <c r="AB89" s="130" t="n"/>
      <c r="AC89" s="38">
        <f>AB89*$C89</f>
        <v/>
      </c>
      <c r="AD89" s="130" t="n"/>
      <c r="AE89" s="38">
        <f>AD89*$C89</f>
        <v/>
      </c>
      <c r="AF89" s="130" t="n"/>
      <c r="AG89" s="38">
        <f>AF89*$C89</f>
        <v/>
      </c>
      <c r="AH89" s="130" t="n"/>
      <c r="AI89" s="38">
        <f>AH89*$C89</f>
        <v/>
      </c>
      <c r="AJ89" s="130" t="n"/>
      <c r="AK89" s="38">
        <f>AJ89*$C89</f>
        <v/>
      </c>
      <c r="AL89" s="130" t="n"/>
      <c r="AM89" s="38">
        <f>AL89*$C89</f>
        <v/>
      </c>
      <c r="AN89" s="130" t="n"/>
      <c r="AO89" s="38">
        <f>AN89*$C89</f>
        <v/>
      </c>
      <c r="AP89" s="130" t="n"/>
      <c r="AQ89" s="38">
        <f>AP89*$C89</f>
        <v/>
      </c>
      <c r="AR89" s="130" t="n"/>
      <c r="AS89" s="38">
        <f>AR89*$C89</f>
        <v/>
      </c>
      <c r="AT89" s="130" t="n"/>
      <c r="AU89" s="38">
        <f>AT89*$C89</f>
        <v/>
      </c>
      <c r="AV89" s="130" t="n"/>
      <c r="AW89" s="38">
        <f>AV89*$C89</f>
        <v/>
      </c>
      <c r="AX89" s="130" t="n"/>
      <c r="AY89" s="38">
        <f>AX89*$C89</f>
        <v/>
      </c>
    </row>
    <row r="90">
      <c r="A90" s="56" t="inlineStr">
        <is>
          <t>SA0752BOF</t>
        </is>
      </c>
      <c r="B90" s="57" t="inlineStr">
        <is>
          <t>Process Claim Forms Deficiencies and Rejections: Bulk opt-in or claim forms - Tier 2 (per form)</t>
        </is>
      </c>
      <c r="C90" s="126" t="n"/>
      <c r="D90" s="127" t="n"/>
      <c r="E90" s="38">
        <f>ROUND(C90*D90,2)</f>
        <v/>
      </c>
      <c r="F90" s="60" t="n"/>
      <c r="G90" s="128">
        <f t="array" ref="G90">SUMPRODUCT(L90:EZ90,--(MOD(COLUMN(L90:EZ90),2)=0))</f>
        <v/>
      </c>
      <c r="H90" s="38">
        <f t="array" ref="H90">SUMPRODUCT(L90:EZ90,MOD(COLUMN(L90:EZ90),2))</f>
        <v/>
      </c>
      <c r="I90" s="129">
        <f>D90-G90</f>
        <v/>
      </c>
      <c r="J90" s="40">
        <f>ROUND(E90,2)-ROUND(H90,2)</f>
        <v/>
      </c>
      <c r="K90" s="116">
        <f>IF(J90=0,"",IF(J90&lt;0,"IMPORTANT:  Over budget - Needs review","Currently at or under budget"))</f>
        <v/>
      </c>
      <c r="L90" s="130" t="n"/>
      <c r="M90" s="40">
        <f>L90*$C90</f>
        <v/>
      </c>
      <c r="N90" s="130" t="n"/>
      <c r="O90" s="40">
        <f>N90*$C90</f>
        <v/>
      </c>
      <c r="P90" s="130" t="n"/>
      <c r="Q90" s="40">
        <f>P90*$C90</f>
        <v/>
      </c>
      <c r="R90" s="130" t="n"/>
      <c r="S90" s="40">
        <f>R90*$C90</f>
        <v/>
      </c>
      <c r="T90" s="130" t="n"/>
      <c r="U90" s="64">
        <f>T90*$C90</f>
        <v/>
      </c>
      <c r="V90" s="130" t="n"/>
      <c r="W90" s="38">
        <f>V90*$C90</f>
        <v/>
      </c>
      <c r="X90" s="130" t="n"/>
      <c r="Y90" s="38">
        <f>X90*$C90</f>
        <v/>
      </c>
      <c r="Z90" s="130" t="n"/>
      <c r="AA90" s="38">
        <f>Z90*$C90</f>
        <v/>
      </c>
      <c r="AB90" s="130" t="n"/>
      <c r="AC90" s="38">
        <f>AB90*$C90</f>
        <v/>
      </c>
      <c r="AD90" s="130" t="n"/>
      <c r="AE90" s="38">
        <f>AD90*$C90</f>
        <v/>
      </c>
      <c r="AF90" s="130" t="n"/>
      <c r="AG90" s="38">
        <f>AF90*$C90</f>
        <v/>
      </c>
      <c r="AH90" s="130" t="n"/>
      <c r="AI90" s="38">
        <f>AH90*$C90</f>
        <v/>
      </c>
      <c r="AJ90" s="130" t="n"/>
      <c r="AK90" s="38">
        <f>AJ90*$C90</f>
        <v/>
      </c>
      <c r="AL90" s="130" t="n"/>
      <c r="AM90" s="38">
        <f>AL90*$C90</f>
        <v/>
      </c>
      <c r="AN90" s="130" t="n"/>
      <c r="AO90" s="38">
        <f>AN90*$C90</f>
        <v/>
      </c>
      <c r="AP90" s="130" t="n"/>
      <c r="AQ90" s="38">
        <f>AP90*$C90</f>
        <v/>
      </c>
      <c r="AR90" s="130" t="n"/>
      <c r="AS90" s="38">
        <f>AR90*$C90</f>
        <v/>
      </c>
      <c r="AT90" s="130" t="n"/>
      <c r="AU90" s="38">
        <f>AT90*$C90</f>
        <v/>
      </c>
      <c r="AV90" s="130" t="n"/>
      <c r="AW90" s="38">
        <f>AV90*$C90</f>
        <v/>
      </c>
      <c r="AX90" s="130" t="n"/>
      <c r="AY90" s="38">
        <f>AX90*$C90</f>
        <v/>
      </c>
    </row>
    <row r="91">
      <c r="A91" s="56" t="inlineStr">
        <is>
          <t>SA0753BOF</t>
        </is>
      </c>
      <c r="B91" s="57" t="inlineStr">
        <is>
          <t>Process Claim Forms Deficiencies and Rejections: Bulk opt-in or claim forms - Tier 3 (per form)</t>
        </is>
      </c>
      <c r="C91" s="126" t="n"/>
      <c r="D91" s="127" t="n"/>
      <c r="E91" s="38">
        <f>ROUND(C91*D91,2)</f>
        <v/>
      </c>
      <c r="F91" s="60" t="n"/>
      <c r="G91" s="128">
        <f t="array" ref="G91">SUMPRODUCT(L91:EZ91,--(MOD(COLUMN(L91:EZ91),2)=0))</f>
        <v/>
      </c>
      <c r="H91" s="38">
        <f t="array" ref="H91">SUMPRODUCT(L91:EZ91,MOD(COLUMN(L91:EZ91),2))</f>
        <v/>
      </c>
      <c r="I91" s="129">
        <f>D91-G91</f>
        <v/>
      </c>
      <c r="J91" s="40">
        <f>ROUND(E91,2)-ROUND(H91,2)</f>
        <v/>
      </c>
      <c r="K91" s="116">
        <f>IF(J91=0,"",IF(J91&lt;0,"IMPORTANT:  Over budget - Needs review","Currently at or under budget"))</f>
        <v/>
      </c>
      <c r="L91" s="130" t="n"/>
      <c r="M91" s="40">
        <f>L91*$C91</f>
        <v/>
      </c>
      <c r="N91" s="130" t="n"/>
      <c r="O91" s="40">
        <f>N91*$C91</f>
        <v/>
      </c>
      <c r="P91" s="130" t="n"/>
      <c r="Q91" s="40">
        <f>P91*$C91</f>
        <v/>
      </c>
      <c r="R91" s="130" t="n"/>
      <c r="S91" s="40">
        <f>R91*$C91</f>
        <v/>
      </c>
      <c r="T91" s="130" t="n"/>
      <c r="U91" s="64">
        <f>T91*$C91</f>
        <v/>
      </c>
      <c r="V91" s="130" t="n"/>
      <c r="W91" s="38">
        <f>V91*$C91</f>
        <v/>
      </c>
      <c r="X91" s="130" t="n"/>
      <c r="Y91" s="38">
        <f>X91*$C91</f>
        <v/>
      </c>
      <c r="Z91" s="130" t="n"/>
      <c r="AA91" s="38">
        <f>Z91*$C91</f>
        <v/>
      </c>
      <c r="AB91" s="130" t="n"/>
      <c r="AC91" s="38">
        <f>AB91*$C91</f>
        <v/>
      </c>
      <c r="AD91" s="130" t="n"/>
      <c r="AE91" s="38">
        <f>AD91*$C91</f>
        <v/>
      </c>
      <c r="AF91" s="130" t="n"/>
      <c r="AG91" s="38">
        <f>AF91*$C91</f>
        <v/>
      </c>
      <c r="AH91" s="130" t="n"/>
      <c r="AI91" s="38">
        <f>AH91*$C91</f>
        <v/>
      </c>
      <c r="AJ91" s="130" t="n"/>
      <c r="AK91" s="38">
        <f>AJ91*$C91</f>
        <v/>
      </c>
      <c r="AL91" s="130" t="n"/>
      <c r="AM91" s="38">
        <f>AL91*$C91</f>
        <v/>
      </c>
      <c r="AN91" s="130" t="n"/>
      <c r="AO91" s="38">
        <f>AN91*$C91</f>
        <v/>
      </c>
      <c r="AP91" s="130" t="n"/>
      <c r="AQ91" s="38">
        <f>AP91*$C91</f>
        <v/>
      </c>
      <c r="AR91" s="130" t="n"/>
      <c r="AS91" s="38">
        <f>AR91*$C91</f>
        <v/>
      </c>
      <c r="AT91" s="130" t="n"/>
      <c r="AU91" s="38">
        <f>AT91*$C91</f>
        <v/>
      </c>
      <c r="AV91" s="130" t="n"/>
      <c r="AW91" s="38">
        <f>AV91*$C91</f>
        <v/>
      </c>
      <c r="AX91" s="130" t="n"/>
      <c r="AY91" s="38">
        <f>AX91*$C91</f>
        <v/>
      </c>
    </row>
    <row r="92">
      <c r="A92" s="56" t="inlineStr">
        <is>
          <t>SA0754BOF</t>
        </is>
      </c>
      <c r="B92" s="57" t="inlineStr">
        <is>
          <t>Process Claim Forms Deficiencies and Rejections: Bulk opt-in or claim forms - Tier 4 (per form)</t>
        </is>
      </c>
      <c r="C92" s="126" t="n"/>
      <c r="D92" s="127" t="n"/>
      <c r="E92" s="38">
        <f>ROUND(C92*D92,2)</f>
        <v/>
      </c>
      <c r="F92" s="60" t="n"/>
      <c r="G92" s="128">
        <f t="array" ref="G92">SUMPRODUCT(L92:EZ92,--(MOD(COLUMN(L92:EZ92),2)=0))</f>
        <v/>
      </c>
      <c r="H92" s="38">
        <f t="array" ref="H92">SUMPRODUCT(L92:EZ92,MOD(COLUMN(L92:EZ92),2))</f>
        <v/>
      </c>
      <c r="I92" s="129">
        <f>D92-G92</f>
        <v/>
      </c>
      <c r="J92" s="40">
        <f>ROUND(E92,2)-ROUND(H92,2)</f>
        <v/>
      </c>
      <c r="K92" s="116">
        <f>IF(J92=0,"",IF(J92&lt;0,"IMPORTANT:  Over budget - Needs review","Currently at or under budget"))</f>
        <v/>
      </c>
      <c r="L92" s="130" t="n"/>
      <c r="M92" s="40">
        <f>L92*$C92</f>
        <v/>
      </c>
      <c r="N92" s="130" t="n"/>
      <c r="O92" s="40">
        <f>N92*$C92</f>
        <v/>
      </c>
      <c r="P92" s="130" t="n"/>
      <c r="Q92" s="40">
        <f>P92*$C92</f>
        <v/>
      </c>
      <c r="R92" s="130" t="n"/>
      <c r="S92" s="40">
        <f>R92*$C92</f>
        <v/>
      </c>
      <c r="T92" s="130" t="n"/>
      <c r="U92" s="64">
        <f>T92*$C92</f>
        <v/>
      </c>
      <c r="V92" s="130" t="n"/>
      <c r="W92" s="38">
        <f>V92*$C92</f>
        <v/>
      </c>
      <c r="X92" s="130" t="n"/>
      <c r="Y92" s="38">
        <f>X92*$C92</f>
        <v/>
      </c>
      <c r="Z92" s="130" t="n"/>
      <c r="AA92" s="38">
        <f>Z92*$C92</f>
        <v/>
      </c>
      <c r="AB92" s="130" t="n"/>
      <c r="AC92" s="38">
        <f>AB92*$C92</f>
        <v/>
      </c>
      <c r="AD92" s="130" t="n"/>
      <c r="AE92" s="38">
        <f>AD92*$C92</f>
        <v/>
      </c>
      <c r="AF92" s="130" t="n"/>
      <c r="AG92" s="38">
        <f>AF92*$C92</f>
        <v/>
      </c>
      <c r="AH92" s="130" t="n"/>
      <c r="AI92" s="38">
        <f>AH92*$C92</f>
        <v/>
      </c>
      <c r="AJ92" s="130" t="n"/>
      <c r="AK92" s="38">
        <f>AJ92*$C92</f>
        <v/>
      </c>
      <c r="AL92" s="130" t="n"/>
      <c r="AM92" s="38">
        <f>AL92*$C92</f>
        <v/>
      </c>
      <c r="AN92" s="130" t="n"/>
      <c r="AO92" s="38">
        <f>AN92*$C92</f>
        <v/>
      </c>
      <c r="AP92" s="130" t="n"/>
      <c r="AQ92" s="38">
        <f>AP92*$C92</f>
        <v/>
      </c>
      <c r="AR92" s="130" t="n"/>
      <c r="AS92" s="38">
        <f>AR92*$C92</f>
        <v/>
      </c>
      <c r="AT92" s="130" t="n"/>
      <c r="AU92" s="38">
        <f>AT92*$C92</f>
        <v/>
      </c>
      <c r="AV92" s="130" t="n"/>
      <c r="AW92" s="38">
        <f>AV92*$C92</f>
        <v/>
      </c>
      <c r="AX92" s="130" t="n"/>
      <c r="AY92" s="38">
        <f>AX92*$C92</f>
        <v/>
      </c>
    </row>
    <row r="93">
      <c r="A93" s="56" t="inlineStr">
        <is>
          <t>SA0755BOF</t>
        </is>
      </c>
      <c r="B93" s="57" t="inlineStr">
        <is>
          <t>Process Claim Forms Deficiencies and Rejections: Bulk opt-in or claim forms - Tier 5 (per form)</t>
        </is>
      </c>
      <c r="C93" s="126" t="n"/>
      <c r="D93" s="127" t="n"/>
      <c r="E93" s="38">
        <f>ROUND(C93*D93,2)</f>
        <v/>
      </c>
      <c r="F93" s="60" t="n"/>
      <c r="G93" s="128">
        <f t="array" ref="G93">SUMPRODUCT(L93:EZ93,--(MOD(COLUMN(L93:EZ93),2)=0))</f>
        <v/>
      </c>
      <c r="H93" s="38">
        <f t="array" ref="H93">SUMPRODUCT(L93:EZ93,MOD(COLUMN(L93:EZ93),2))</f>
        <v/>
      </c>
      <c r="I93" s="129">
        <f>D93-G93</f>
        <v/>
      </c>
      <c r="J93" s="40">
        <f>ROUND(E93,2)-ROUND(H93,2)</f>
        <v/>
      </c>
      <c r="K93" s="116">
        <f>IF(J93=0,"",IF(J93&lt;0,"IMPORTANT:  Over budget - Needs review","Currently at or under budget"))</f>
        <v/>
      </c>
      <c r="L93" s="130" t="n"/>
      <c r="M93" s="40">
        <f>L93*$C93</f>
        <v/>
      </c>
      <c r="N93" s="130" t="n"/>
      <c r="O93" s="40">
        <f>N93*$C93</f>
        <v/>
      </c>
      <c r="P93" s="130" t="n"/>
      <c r="Q93" s="40">
        <f>P93*$C93</f>
        <v/>
      </c>
      <c r="R93" s="130" t="n"/>
      <c r="S93" s="40">
        <f>R93*$C93</f>
        <v/>
      </c>
      <c r="T93" s="130" t="n"/>
      <c r="U93" s="64">
        <f>T93*$C93</f>
        <v/>
      </c>
      <c r="V93" s="130" t="n"/>
      <c r="W93" s="38">
        <f>V93*$C93</f>
        <v/>
      </c>
      <c r="X93" s="130" t="n"/>
      <c r="Y93" s="38">
        <f>X93*$C93</f>
        <v/>
      </c>
      <c r="Z93" s="130" t="n"/>
      <c r="AA93" s="38">
        <f>Z93*$C93</f>
        <v/>
      </c>
      <c r="AB93" s="130" t="n"/>
      <c r="AC93" s="38">
        <f>AB93*$C93</f>
        <v/>
      </c>
      <c r="AD93" s="130" t="n"/>
      <c r="AE93" s="38">
        <f>AD93*$C93</f>
        <v/>
      </c>
      <c r="AF93" s="130" t="n"/>
      <c r="AG93" s="38">
        <f>AF93*$C93</f>
        <v/>
      </c>
      <c r="AH93" s="130" t="n"/>
      <c r="AI93" s="38">
        <f>AH93*$C93</f>
        <v/>
      </c>
      <c r="AJ93" s="130" t="n"/>
      <c r="AK93" s="38">
        <f>AJ93*$C93</f>
        <v/>
      </c>
      <c r="AL93" s="130" t="n"/>
      <c r="AM93" s="38">
        <f>AL93*$C93</f>
        <v/>
      </c>
      <c r="AN93" s="130" t="n"/>
      <c r="AO93" s="38">
        <f>AN93*$C93</f>
        <v/>
      </c>
      <c r="AP93" s="130" t="n"/>
      <c r="AQ93" s="38">
        <f>AP93*$C93</f>
        <v/>
      </c>
      <c r="AR93" s="130" t="n"/>
      <c r="AS93" s="38">
        <f>AR93*$C93</f>
        <v/>
      </c>
      <c r="AT93" s="130" t="n"/>
      <c r="AU93" s="38">
        <f>AT93*$C93</f>
        <v/>
      </c>
      <c r="AV93" s="130" t="n"/>
      <c r="AW93" s="38">
        <f>AV93*$C93</f>
        <v/>
      </c>
      <c r="AX93" s="130" t="n"/>
      <c r="AY93" s="38">
        <f>AX93*$C93</f>
        <v/>
      </c>
    </row>
    <row r="94">
      <c r="A94" s="56" t="inlineStr">
        <is>
          <t>SA0756BOF</t>
        </is>
      </c>
      <c r="B94" s="57" t="inlineStr">
        <is>
          <t>Process Claim Forms Deficiencies and Rejections: Bulk opt-in or claim forms - Tier 6 (per form)</t>
        </is>
      </c>
      <c r="C94" s="126" t="n"/>
      <c r="D94" s="127" t="n"/>
      <c r="E94" s="38">
        <f>ROUND(C94*D94,2)</f>
        <v/>
      </c>
      <c r="F94" s="60" t="n"/>
      <c r="G94" s="128">
        <f t="array" ref="G94">SUMPRODUCT(L94:EZ94,--(MOD(COLUMN(L94:EZ94),2)=0))</f>
        <v/>
      </c>
      <c r="H94" s="38">
        <f t="array" ref="H94">SUMPRODUCT(L94:EZ94,MOD(COLUMN(L94:EZ94),2))</f>
        <v/>
      </c>
      <c r="I94" s="129">
        <f>D94-G94</f>
        <v/>
      </c>
      <c r="J94" s="40">
        <f>ROUND(E94,2)-ROUND(H94,2)</f>
        <v/>
      </c>
      <c r="K94" s="116">
        <f>IF(J94=0,"",IF(J94&lt;0,"IMPORTANT:  Over budget - Needs review","Currently at or under budget"))</f>
        <v/>
      </c>
      <c r="L94" s="130" t="n"/>
      <c r="M94" s="40">
        <f>L94*$C94</f>
        <v/>
      </c>
      <c r="N94" s="130" t="n"/>
      <c r="O94" s="40">
        <f>N94*$C94</f>
        <v/>
      </c>
      <c r="P94" s="130" t="n"/>
      <c r="Q94" s="40">
        <f>P94*$C94</f>
        <v/>
      </c>
      <c r="R94" s="130" t="n"/>
      <c r="S94" s="40">
        <f>R94*$C94</f>
        <v/>
      </c>
      <c r="T94" s="130" t="n"/>
      <c r="U94" s="64">
        <f>T94*$C94</f>
        <v/>
      </c>
      <c r="V94" s="130" t="n"/>
      <c r="W94" s="38">
        <f>V94*$C94</f>
        <v/>
      </c>
      <c r="X94" s="130" t="n"/>
      <c r="Y94" s="38">
        <f>X94*$C94</f>
        <v/>
      </c>
      <c r="Z94" s="130" t="n"/>
      <c r="AA94" s="38">
        <f>Z94*$C94</f>
        <v/>
      </c>
      <c r="AB94" s="130" t="n"/>
      <c r="AC94" s="38">
        <f>AB94*$C94</f>
        <v/>
      </c>
      <c r="AD94" s="130" t="n"/>
      <c r="AE94" s="38">
        <f>AD94*$C94</f>
        <v/>
      </c>
      <c r="AF94" s="130" t="n"/>
      <c r="AG94" s="38">
        <f>AF94*$C94</f>
        <v/>
      </c>
      <c r="AH94" s="130" t="n"/>
      <c r="AI94" s="38">
        <f>AH94*$C94</f>
        <v/>
      </c>
      <c r="AJ94" s="130" t="n"/>
      <c r="AK94" s="38">
        <f>AJ94*$C94</f>
        <v/>
      </c>
      <c r="AL94" s="130" t="n"/>
      <c r="AM94" s="38">
        <f>AL94*$C94</f>
        <v/>
      </c>
      <c r="AN94" s="130" t="n"/>
      <c r="AO94" s="38">
        <f>AN94*$C94</f>
        <v/>
      </c>
      <c r="AP94" s="130" t="n"/>
      <c r="AQ94" s="38">
        <f>AP94*$C94</f>
        <v/>
      </c>
      <c r="AR94" s="130" t="n"/>
      <c r="AS94" s="38">
        <f>AR94*$C94</f>
        <v/>
      </c>
      <c r="AT94" s="130" t="n"/>
      <c r="AU94" s="38">
        <f>AT94*$C94</f>
        <v/>
      </c>
      <c r="AV94" s="130" t="n"/>
      <c r="AW94" s="38">
        <f>AV94*$C94</f>
        <v/>
      </c>
      <c r="AX94" s="130" t="n"/>
      <c r="AY94" s="38">
        <f>AX94*$C94</f>
        <v/>
      </c>
    </row>
    <row r="95">
      <c r="A95" s="56" t="inlineStr">
        <is>
          <t>SA07570ACC</t>
        </is>
      </c>
      <c r="B95" s="57" t="inlineStr">
        <is>
          <t>Process Claim Forms Deficiencies and Rejections: Additional claims  (per 25 transactions)</t>
        </is>
      </c>
      <c r="C95" s="126" t="n"/>
      <c r="D95" s="127" t="n"/>
      <c r="E95" s="38">
        <f>ROUND(C95*D95,2)</f>
        <v/>
      </c>
      <c r="F95" s="60" t="n"/>
      <c r="G95" s="128">
        <f t="array" ref="G95">SUMPRODUCT(L95:EZ95,--(MOD(COLUMN(L95:EZ95),2)=0))</f>
        <v/>
      </c>
      <c r="H95" s="38">
        <f t="array" ref="H95">SUMPRODUCT(L95:EZ95,MOD(COLUMN(L95:EZ95),2))</f>
        <v/>
      </c>
      <c r="I95" s="129">
        <f>D95-G95</f>
        <v/>
      </c>
      <c r="J95" s="40">
        <f>ROUND(E95,2)-ROUND(H95,2)</f>
        <v/>
      </c>
      <c r="K95" s="116">
        <f>IF(J95=0,"",IF(J95&lt;0,"IMPORTANT:  Over budget - Needs review","Currently at or under budget"))</f>
        <v/>
      </c>
      <c r="L95" s="130" t="n"/>
      <c r="M95" s="40">
        <f>L95*$C95</f>
        <v/>
      </c>
      <c r="N95" s="130" t="n"/>
      <c r="O95" s="40">
        <f>N95*$C95</f>
        <v/>
      </c>
      <c r="P95" s="130" t="n"/>
      <c r="Q95" s="40">
        <f>P95*$C95</f>
        <v/>
      </c>
      <c r="R95" s="130" t="n"/>
      <c r="S95" s="40">
        <f>R95*$C95</f>
        <v/>
      </c>
      <c r="T95" s="130" t="n"/>
      <c r="U95" s="64">
        <f>T95*$C95</f>
        <v/>
      </c>
      <c r="V95" s="130" t="n"/>
      <c r="W95" s="38">
        <f>V95*$C95</f>
        <v/>
      </c>
      <c r="X95" s="130" t="n"/>
      <c r="Y95" s="38">
        <f>X95*$C95</f>
        <v/>
      </c>
      <c r="Z95" s="130" t="n"/>
      <c r="AA95" s="38">
        <f>Z95*$C95</f>
        <v/>
      </c>
      <c r="AB95" s="130" t="n"/>
      <c r="AC95" s="38">
        <f>AB95*$C95</f>
        <v/>
      </c>
      <c r="AD95" s="130" t="n"/>
      <c r="AE95" s="38">
        <f>AD95*$C95</f>
        <v/>
      </c>
      <c r="AF95" s="130" t="n"/>
      <c r="AG95" s="38">
        <f>AF95*$C95</f>
        <v/>
      </c>
      <c r="AH95" s="130" t="n"/>
      <c r="AI95" s="38">
        <f>AH95*$C95</f>
        <v/>
      </c>
      <c r="AJ95" s="130" t="n"/>
      <c r="AK95" s="38">
        <f>AJ95*$C95</f>
        <v/>
      </c>
      <c r="AL95" s="130" t="n"/>
      <c r="AM95" s="38">
        <f>AL95*$C95</f>
        <v/>
      </c>
      <c r="AN95" s="130" t="n"/>
      <c r="AO95" s="38">
        <f>AN95*$C95</f>
        <v/>
      </c>
      <c r="AP95" s="130" t="n"/>
      <c r="AQ95" s="38">
        <f>AP95*$C95</f>
        <v/>
      </c>
      <c r="AR95" s="130" t="n"/>
      <c r="AS95" s="38">
        <f>AR95*$C95</f>
        <v/>
      </c>
      <c r="AT95" s="130" t="n"/>
      <c r="AU95" s="38">
        <f>AT95*$C95</f>
        <v/>
      </c>
      <c r="AV95" s="130" t="n"/>
      <c r="AW95" s="38">
        <f>AV95*$C95</f>
        <v/>
      </c>
      <c r="AX95" s="130" t="n"/>
      <c r="AY95" s="38">
        <f>AX95*$C95</f>
        <v/>
      </c>
    </row>
    <row r="96">
      <c r="A96" s="56" t="inlineStr">
        <is>
          <t>SA07700SCL</t>
        </is>
      </c>
      <c r="B96" s="57" t="inlineStr">
        <is>
          <t>Process Claim Forms Deficiencies and Rejections: Send claim form receipt confirmation (per letter)</t>
        </is>
      </c>
      <c r="C96" s="126" t="n"/>
      <c r="D96" s="127" t="n"/>
      <c r="E96" s="38">
        <f>ROUND(C96*D96,2)</f>
        <v/>
      </c>
      <c r="F96" s="60" t="n"/>
      <c r="G96" s="128">
        <f t="array" ref="G96">SUMPRODUCT(L96:EZ96,--(MOD(COLUMN(L96:EZ96),2)=0))</f>
        <v/>
      </c>
      <c r="H96" s="38">
        <f t="array" ref="H96">SUMPRODUCT(L96:EZ96,MOD(COLUMN(L96:EZ96),2))</f>
        <v/>
      </c>
      <c r="I96" s="129">
        <f>D96-G96</f>
        <v/>
      </c>
      <c r="J96" s="40">
        <f>ROUND(E96,2)-ROUND(H96,2)</f>
        <v/>
      </c>
      <c r="K96" s="116">
        <f>IF(J96=0,"",IF(J96&lt;0,"IMPORTANT:  Over budget - Needs review","Currently at or under budget"))</f>
        <v/>
      </c>
      <c r="L96" s="130" t="n"/>
      <c r="M96" s="40">
        <f>L96*$C96</f>
        <v/>
      </c>
      <c r="N96" s="130" t="n"/>
      <c r="O96" s="40">
        <f>N96*$C96</f>
        <v/>
      </c>
      <c r="P96" s="130" t="n"/>
      <c r="Q96" s="40">
        <f>P96*$C96</f>
        <v/>
      </c>
      <c r="R96" s="130" t="n"/>
      <c r="S96" s="40">
        <f>R96*$C96</f>
        <v/>
      </c>
      <c r="T96" s="130" t="n"/>
      <c r="U96" s="64">
        <f>T96*$C96</f>
        <v/>
      </c>
      <c r="V96" s="130" t="n"/>
      <c r="W96" s="38">
        <f>V96*$C96</f>
        <v/>
      </c>
      <c r="X96" s="130" t="n"/>
      <c r="Y96" s="38">
        <f>X96*$C96</f>
        <v/>
      </c>
      <c r="Z96" s="130" t="n"/>
      <c r="AA96" s="38">
        <f>Z96*$C96</f>
        <v/>
      </c>
      <c r="AB96" s="130" t="n"/>
      <c r="AC96" s="38">
        <f>AB96*$C96</f>
        <v/>
      </c>
      <c r="AD96" s="130" t="n"/>
      <c r="AE96" s="38">
        <f>AD96*$C96</f>
        <v/>
      </c>
      <c r="AF96" s="130" t="n"/>
      <c r="AG96" s="38">
        <f>AF96*$C96</f>
        <v/>
      </c>
      <c r="AH96" s="130" t="n"/>
      <c r="AI96" s="38">
        <f>AH96*$C96</f>
        <v/>
      </c>
      <c r="AJ96" s="130" t="n"/>
      <c r="AK96" s="38">
        <f>AJ96*$C96</f>
        <v/>
      </c>
      <c r="AL96" s="130" t="n"/>
      <c r="AM96" s="38">
        <f>AL96*$C96</f>
        <v/>
      </c>
      <c r="AN96" s="130" t="n"/>
      <c r="AO96" s="38">
        <f>AN96*$C96</f>
        <v/>
      </c>
      <c r="AP96" s="130" t="n"/>
      <c r="AQ96" s="38">
        <f>AP96*$C96</f>
        <v/>
      </c>
      <c r="AR96" s="130" t="n"/>
      <c r="AS96" s="38">
        <f>AR96*$C96</f>
        <v/>
      </c>
      <c r="AT96" s="130" t="n"/>
      <c r="AU96" s="38">
        <f>AT96*$C96</f>
        <v/>
      </c>
      <c r="AV96" s="130" t="n"/>
      <c r="AW96" s="38">
        <f>AV96*$C96</f>
        <v/>
      </c>
      <c r="AX96" s="130" t="n"/>
      <c r="AY96" s="38">
        <f>AX96*$C96</f>
        <v/>
      </c>
    </row>
    <row r="97">
      <c r="A97" s="56" t="inlineStr">
        <is>
          <t>SA07830SFL</t>
        </is>
      </c>
      <c r="B97" s="57" t="inlineStr">
        <is>
          <t>Process Claim Forms Deficiencies and Rejections: Send form deficiency &amp; rejection letters (per letter)</t>
        </is>
      </c>
      <c r="C97" s="126" t="n">
        <v>3</v>
      </c>
      <c r="D97" s="127" t="n">
        <v>1083</v>
      </c>
      <c r="E97" s="38">
        <f>ROUND(C97*D97,2)</f>
        <v/>
      </c>
      <c r="F97" s="60" t="n"/>
      <c r="G97" s="128">
        <f t="array" ref="G97">SUMPRODUCT(L97:EZ97,--(MOD(COLUMN(L97:EZ97),2)=0))</f>
        <v/>
      </c>
      <c r="H97" s="38">
        <f t="array" ref="H97">SUMPRODUCT(L97:EZ97,MOD(COLUMN(L97:EZ97),2))</f>
        <v/>
      </c>
      <c r="I97" s="129">
        <f>D97-G97</f>
        <v/>
      </c>
      <c r="J97" s="40">
        <f>ROUND(E97,2)-ROUND(H97,2)</f>
        <v/>
      </c>
      <c r="K97" s="116">
        <f>IF(J97=0,"",IF(J97&lt;0,"IMPORTANT:  Over budget - Needs review","Currently at or under budget"))</f>
        <v/>
      </c>
      <c r="L97" s="130" t="n"/>
      <c r="M97" s="40">
        <f>L97*$C97</f>
        <v/>
      </c>
      <c r="N97" s="130" t="n"/>
      <c r="O97" s="40">
        <f>N97*$C97</f>
        <v/>
      </c>
      <c r="P97" s="130" t="n"/>
      <c r="Q97" s="40">
        <f>P97*$C97</f>
        <v/>
      </c>
      <c r="R97" s="130" t="n"/>
      <c r="S97" s="40">
        <f>R97*$C97</f>
        <v/>
      </c>
      <c r="T97" s="130" t="n"/>
      <c r="U97" s="64">
        <f>T97*$C97</f>
        <v/>
      </c>
      <c r="V97" s="130" t="n"/>
      <c r="W97" s="38">
        <f>V97*$C97</f>
        <v/>
      </c>
      <c r="X97" s="130" t="n"/>
      <c r="Y97" s="38">
        <f>X97*$C97</f>
        <v/>
      </c>
      <c r="Z97" s="130" t="n"/>
      <c r="AA97" s="38">
        <f>Z97*$C97</f>
        <v/>
      </c>
      <c r="AB97" s="130" t="n"/>
      <c r="AC97" s="38">
        <f>AB97*$C97</f>
        <v/>
      </c>
      <c r="AD97" s="130" t="n"/>
      <c r="AE97" s="38">
        <f>AD97*$C97</f>
        <v/>
      </c>
      <c r="AF97" s="130" t="n"/>
      <c r="AG97" s="38">
        <f>AF97*$C97</f>
        <v/>
      </c>
      <c r="AH97" s="130" t="n"/>
      <c r="AI97" s="38">
        <f>AH97*$C97</f>
        <v/>
      </c>
      <c r="AJ97" s="130" t="n"/>
      <c r="AK97" s="38">
        <f>AJ97*$C97</f>
        <v/>
      </c>
      <c r="AL97" s="130" t="n"/>
      <c r="AM97" s="38">
        <f>AL97*$C97</f>
        <v/>
      </c>
      <c r="AN97" s="130" t="n"/>
      <c r="AO97" s="38">
        <f>AN97*$C97</f>
        <v/>
      </c>
      <c r="AP97" s="130" t="n"/>
      <c r="AQ97" s="38">
        <f>AP97*$C97</f>
        <v/>
      </c>
      <c r="AR97" s="130" t="n"/>
      <c r="AS97" s="38">
        <f>AR97*$C97</f>
        <v/>
      </c>
      <c r="AT97" s="130" t="n"/>
      <c r="AU97" s="38">
        <f>AT97*$C97</f>
        <v/>
      </c>
      <c r="AV97" s="130" t="n"/>
      <c r="AW97" s="38">
        <f>AV97*$C97</f>
        <v/>
      </c>
      <c r="AX97" s="130" t="n"/>
      <c r="AY97" s="38">
        <f>AX97*$C97</f>
        <v/>
      </c>
    </row>
    <row r="98">
      <c r="A98" s="56" t="inlineStr">
        <is>
          <t>SA07890DEL</t>
        </is>
      </c>
      <c r="B98" s="57" t="inlineStr">
        <is>
          <t>Process Claim Forms Deficiencies and Rejections: Deficiency email list cleanse and hygiene (one time)</t>
        </is>
      </c>
      <c r="C98" s="126" t="n"/>
      <c r="D98" s="127" t="n"/>
      <c r="E98" s="38">
        <f>ROUND(C98*D98,2)</f>
        <v/>
      </c>
      <c r="F98" s="60" t="n"/>
      <c r="G98" s="128">
        <f t="array" ref="G98">SUMPRODUCT(L98:EZ98,--(MOD(COLUMN(L98:EZ98),2)=0))</f>
        <v/>
      </c>
      <c r="H98" s="38">
        <f t="array" ref="H98">SUMPRODUCT(L98:EZ98,MOD(COLUMN(L98:EZ98),2))</f>
        <v/>
      </c>
      <c r="I98" s="129">
        <f>D98-G98</f>
        <v/>
      </c>
      <c r="J98" s="40">
        <f>ROUND(E98,2)-ROUND(H98,2)</f>
        <v/>
      </c>
      <c r="K98" s="116">
        <f>IF(J98=0,"",IF(J98&lt;0,"IMPORTANT:  Over budget - Needs review","Currently at or under budget"))</f>
        <v/>
      </c>
      <c r="L98" s="130" t="n"/>
      <c r="M98" s="40">
        <f>L98*$C98</f>
        <v/>
      </c>
      <c r="N98" s="130" t="n"/>
      <c r="O98" s="40">
        <f>N98*$C98</f>
        <v/>
      </c>
      <c r="P98" s="130" t="n"/>
      <c r="Q98" s="40">
        <f>P98*$C98</f>
        <v/>
      </c>
      <c r="R98" s="130" t="n"/>
      <c r="S98" s="40">
        <f>R98*$C98</f>
        <v/>
      </c>
      <c r="T98" s="130" t="n"/>
      <c r="U98" s="64">
        <f>T98*$C98</f>
        <v/>
      </c>
      <c r="V98" s="130" t="n"/>
      <c r="W98" s="38">
        <f>V98*$C98</f>
        <v/>
      </c>
      <c r="X98" s="130" t="n"/>
      <c r="Y98" s="38">
        <f>X98*$C98</f>
        <v/>
      </c>
      <c r="Z98" s="130" t="n"/>
      <c r="AA98" s="38">
        <f>Z98*$C98</f>
        <v/>
      </c>
      <c r="AB98" s="130" t="n"/>
      <c r="AC98" s="38">
        <f>AB98*$C98</f>
        <v/>
      </c>
      <c r="AD98" s="130" t="n"/>
      <c r="AE98" s="38">
        <f>AD98*$C98</f>
        <v/>
      </c>
      <c r="AF98" s="130" t="n"/>
      <c r="AG98" s="38">
        <f>AF98*$C98</f>
        <v/>
      </c>
      <c r="AH98" s="130" t="n"/>
      <c r="AI98" s="38">
        <f>AH98*$C98</f>
        <v/>
      </c>
      <c r="AJ98" s="130" t="n"/>
      <c r="AK98" s="38">
        <f>AJ98*$C98</f>
        <v/>
      </c>
      <c r="AL98" s="130" t="n"/>
      <c r="AM98" s="38">
        <f>AL98*$C98</f>
        <v/>
      </c>
      <c r="AN98" s="130" t="n"/>
      <c r="AO98" s="38">
        <f>AN98*$C98</f>
        <v/>
      </c>
      <c r="AP98" s="130" t="n"/>
      <c r="AQ98" s="38">
        <f>AP98*$C98</f>
        <v/>
      </c>
      <c r="AR98" s="130" t="n"/>
      <c r="AS98" s="38">
        <f>AR98*$C98</f>
        <v/>
      </c>
      <c r="AT98" s="130" t="n"/>
      <c r="AU98" s="38">
        <f>AT98*$C98</f>
        <v/>
      </c>
      <c r="AV98" s="130" t="n"/>
      <c r="AW98" s="38">
        <f>AV98*$C98</f>
        <v/>
      </c>
      <c r="AX98" s="130" t="n"/>
      <c r="AY98" s="38">
        <f>AX98*$C98</f>
        <v/>
      </c>
    </row>
    <row r="99">
      <c r="A99" s="56" t="inlineStr">
        <is>
          <t>SA07900SDE</t>
        </is>
      </c>
      <c r="B99" s="57" t="inlineStr">
        <is>
          <t>Process Claim Forms Deficiencies and Rejections: Send deficiency emails (one time)</t>
        </is>
      </c>
      <c r="C99" s="126" t="n"/>
      <c r="D99" s="127" t="n"/>
      <c r="E99" s="38">
        <f>ROUND(C99*D99,2)</f>
        <v/>
      </c>
      <c r="F99" s="60" t="n"/>
      <c r="G99" s="128">
        <f t="array" ref="G99">SUMPRODUCT(L99:EZ99,--(MOD(COLUMN(L99:EZ99),2)=0))</f>
        <v/>
      </c>
      <c r="H99" s="38">
        <f t="array" ref="H99">SUMPRODUCT(L99:EZ99,MOD(COLUMN(L99:EZ99),2))</f>
        <v/>
      </c>
      <c r="I99" s="129">
        <f>D99-G99</f>
        <v/>
      </c>
      <c r="J99" s="40">
        <f>ROUND(E99,2)-ROUND(H99,2)</f>
        <v/>
      </c>
      <c r="K99" s="116">
        <f>IF(J99=0,"",IF(J99&lt;0,"IMPORTANT:  Over budget - Needs review","Currently at or under budget"))</f>
        <v/>
      </c>
      <c r="L99" s="130" t="n"/>
      <c r="M99" s="40">
        <f>L99*$C99</f>
        <v/>
      </c>
      <c r="N99" s="130" t="n"/>
      <c r="O99" s="40">
        <f>N99*$C99</f>
        <v/>
      </c>
      <c r="P99" s="130" t="n"/>
      <c r="Q99" s="40">
        <f>P99*$C99</f>
        <v/>
      </c>
      <c r="R99" s="130" t="n"/>
      <c r="S99" s="40">
        <f>R99*$C99</f>
        <v/>
      </c>
      <c r="T99" s="130" t="n"/>
      <c r="U99" s="64">
        <f>T99*$C99</f>
        <v/>
      </c>
      <c r="V99" s="130" t="n"/>
      <c r="W99" s="38">
        <f>V99*$C99</f>
        <v/>
      </c>
      <c r="X99" s="130" t="n"/>
      <c r="Y99" s="38">
        <f>X99*$C99</f>
        <v/>
      </c>
      <c r="Z99" s="130" t="n"/>
      <c r="AA99" s="38">
        <f>Z99*$C99</f>
        <v/>
      </c>
      <c r="AB99" s="130" t="n"/>
      <c r="AC99" s="38">
        <f>AB99*$C99</f>
        <v/>
      </c>
      <c r="AD99" s="130" t="n"/>
      <c r="AE99" s="38">
        <f>AD99*$C99</f>
        <v/>
      </c>
      <c r="AF99" s="130" t="n"/>
      <c r="AG99" s="38">
        <f>AF99*$C99</f>
        <v/>
      </c>
      <c r="AH99" s="130" t="n"/>
      <c r="AI99" s="38">
        <f>AH99*$C99</f>
        <v/>
      </c>
      <c r="AJ99" s="130" t="n"/>
      <c r="AK99" s="38">
        <f>AJ99*$C99</f>
        <v/>
      </c>
      <c r="AL99" s="130" t="n"/>
      <c r="AM99" s="38">
        <f>AL99*$C99</f>
        <v/>
      </c>
      <c r="AN99" s="130" t="n"/>
      <c r="AO99" s="38">
        <f>AN99*$C99</f>
        <v/>
      </c>
      <c r="AP99" s="130" t="n"/>
      <c r="AQ99" s="38">
        <f>AP99*$C99</f>
        <v/>
      </c>
      <c r="AR99" s="130" t="n"/>
      <c r="AS99" s="38">
        <f>AR99*$C99</f>
        <v/>
      </c>
      <c r="AT99" s="130" t="n"/>
      <c r="AU99" s="38">
        <f>AT99*$C99</f>
        <v/>
      </c>
      <c r="AV99" s="130" t="n"/>
      <c r="AW99" s="38">
        <f>AV99*$C99</f>
        <v/>
      </c>
      <c r="AX99" s="130" t="n"/>
      <c r="AY99" s="38">
        <f>AX99*$C99</f>
        <v/>
      </c>
    </row>
    <row r="100">
      <c r="A100" s="56" t="inlineStr">
        <is>
          <t>SA07950CRR</t>
        </is>
      </c>
      <c r="B100" s="57" t="inlineStr">
        <is>
          <t>Process Claim Forms Deficiencies and Rejections: Claimant responses to deficient claim form (per response)</t>
        </is>
      </c>
      <c r="C100" s="126" t="n">
        <v>3</v>
      </c>
      <c r="D100" s="127" t="n">
        <v>650</v>
      </c>
      <c r="E100" s="38">
        <f>ROUND(C100*D100,2)</f>
        <v/>
      </c>
      <c r="F100" s="60" t="n"/>
      <c r="G100" s="128">
        <f t="array" ref="G100">SUMPRODUCT(L100:EZ100,--(MOD(COLUMN(L100:EZ100),2)=0))</f>
        <v/>
      </c>
      <c r="H100" s="38">
        <f t="array" ref="H100">SUMPRODUCT(L100:EZ100,MOD(COLUMN(L100:EZ100),2))</f>
        <v/>
      </c>
      <c r="I100" s="129">
        <f>D100-G100</f>
        <v/>
      </c>
      <c r="J100" s="40">
        <f>ROUND(E100,2)-ROUND(H100,2)</f>
        <v/>
      </c>
      <c r="K100" s="116">
        <f>IF(J100=0,"",IF(J100&lt;0,"IMPORTANT:  Over budget - Needs review","Currently at or under budget"))</f>
        <v/>
      </c>
      <c r="L100" s="130" t="n"/>
      <c r="M100" s="40">
        <f>L100*$C100</f>
        <v/>
      </c>
      <c r="N100" s="130" t="n"/>
      <c r="O100" s="40">
        <f>N100*$C100</f>
        <v/>
      </c>
      <c r="P100" s="130" t="n"/>
      <c r="Q100" s="40">
        <f>P100*$C100</f>
        <v/>
      </c>
      <c r="R100" s="130" t="n"/>
      <c r="S100" s="40">
        <f>R100*$C100</f>
        <v/>
      </c>
      <c r="T100" s="130" t="n"/>
      <c r="U100" s="64">
        <f>T100*$C100</f>
        <v/>
      </c>
      <c r="V100" s="130" t="n"/>
      <c r="W100" s="38">
        <f>V100*$C100</f>
        <v/>
      </c>
      <c r="X100" s="130" t="n"/>
      <c r="Y100" s="38">
        <f>X100*$C100</f>
        <v/>
      </c>
      <c r="Z100" s="130" t="n"/>
      <c r="AA100" s="38">
        <f>Z100*$C100</f>
        <v/>
      </c>
      <c r="AB100" s="130" t="n"/>
      <c r="AC100" s="38">
        <f>AB100*$C100</f>
        <v/>
      </c>
      <c r="AD100" s="130" t="n"/>
      <c r="AE100" s="38">
        <f>AD100*$C100</f>
        <v/>
      </c>
      <c r="AF100" s="130" t="n"/>
      <c r="AG100" s="38">
        <f>AF100*$C100</f>
        <v/>
      </c>
      <c r="AH100" s="130" t="n"/>
      <c r="AI100" s="38">
        <f>AH100*$C100</f>
        <v/>
      </c>
      <c r="AJ100" s="130" t="n"/>
      <c r="AK100" s="38">
        <f>AJ100*$C100</f>
        <v/>
      </c>
      <c r="AL100" s="130" t="n"/>
      <c r="AM100" s="38">
        <f>AL100*$C100</f>
        <v/>
      </c>
      <c r="AN100" s="130" t="n"/>
      <c r="AO100" s="38">
        <f>AN100*$C100</f>
        <v/>
      </c>
      <c r="AP100" s="130" t="n"/>
      <c r="AQ100" s="38">
        <f>AP100*$C100</f>
        <v/>
      </c>
      <c r="AR100" s="130" t="n"/>
      <c r="AS100" s="38">
        <f>AR100*$C100</f>
        <v/>
      </c>
      <c r="AT100" s="130" t="n"/>
      <c r="AU100" s="38">
        <f>AT100*$C100</f>
        <v/>
      </c>
      <c r="AV100" s="130" t="n"/>
      <c r="AW100" s="38">
        <f>AV100*$C100</f>
        <v/>
      </c>
      <c r="AX100" s="130" t="n"/>
      <c r="AY100" s="38">
        <f>AX100*$C100</f>
        <v/>
      </c>
    </row>
    <row r="101">
      <c r="A101" s="56" t="inlineStr">
        <is>
          <t>SA08350SLL</t>
        </is>
      </c>
      <c r="B101" s="57" t="inlineStr">
        <is>
          <t>Dispute Resolutions/Validation of Claims: Send letters and follow up (per letter)</t>
        </is>
      </c>
      <c r="C101" s="126" t="n"/>
      <c r="D101" s="127" t="n"/>
      <c r="E101" s="38">
        <f>ROUND(C101*D101,2)</f>
        <v/>
      </c>
      <c r="F101" s="60" t="n"/>
      <c r="G101" s="128">
        <f t="array" ref="G101">SUMPRODUCT(L101:EZ101,--(MOD(COLUMN(L101:EZ101),2)=0))</f>
        <v/>
      </c>
      <c r="H101" s="38">
        <f t="array" ref="H101">SUMPRODUCT(L101:EZ101,MOD(COLUMN(L101:EZ101),2))</f>
        <v/>
      </c>
      <c r="I101" s="129">
        <f>D101-G101</f>
        <v/>
      </c>
      <c r="J101" s="40">
        <f>ROUND(E101,2)-ROUND(H101,2)</f>
        <v/>
      </c>
      <c r="K101" s="116">
        <f>IF(J101=0,"",IF(J101&lt;0,"IMPORTANT:  Over budget - Needs review","Currently at or under budget"))</f>
        <v/>
      </c>
      <c r="L101" s="130" t="n"/>
      <c r="M101" s="40">
        <f>L101*$C101</f>
        <v/>
      </c>
      <c r="N101" s="130" t="n"/>
      <c r="O101" s="40">
        <f>N101*$C101</f>
        <v/>
      </c>
      <c r="P101" s="130" t="n"/>
      <c r="Q101" s="40">
        <f>P101*$C101</f>
        <v/>
      </c>
      <c r="R101" s="130" t="n"/>
      <c r="S101" s="40">
        <f>R101*$C101</f>
        <v/>
      </c>
      <c r="T101" s="130" t="n"/>
      <c r="U101" s="64">
        <f>T101*$C101</f>
        <v/>
      </c>
      <c r="V101" s="130" t="n"/>
      <c r="W101" s="38">
        <f>V101*$C101</f>
        <v/>
      </c>
      <c r="X101" s="130" t="n"/>
      <c r="Y101" s="38">
        <f>X101*$C101</f>
        <v/>
      </c>
      <c r="Z101" s="130" t="n"/>
      <c r="AA101" s="38">
        <f>Z101*$C101</f>
        <v/>
      </c>
      <c r="AB101" s="130" t="n"/>
      <c r="AC101" s="38">
        <f>AB101*$C101</f>
        <v/>
      </c>
      <c r="AD101" s="130" t="n"/>
      <c r="AE101" s="38">
        <f>AD101*$C101</f>
        <v/>
      </c>
      <c r="AF101" s="130" t="n"/>
      <c r="AG101" s="38">
        <f>AF101*$C101</f>
        <v/>
      </c>
      <c r="AH101" s="130" t="n"/>
      <c r="AI101" s="38">
        <f>AH101*$C101</f>
        <v/>
      </c>
      <c r="AJ101" s="130" t="n"/>
      <c r="AK101" s="38">
        <f>AJ101*$C101</f>
        <v/>
      </c>
      <c r="AL101" s="130" t="n"/>
      <c r="AM101" s="38">
        <f>AL101*$C101</f>
        <v/>
      </c>
      <c r="AN101" s="130" t="n"/>
      <c r="AO101" s="38">
        <f>AN101*$C101</f>
        <v/>
      </c>
      <c r="AP101" s="130" t="n"/>
      <c r="AQ101" s="38">
        <f>AP101*$C101</f>
        <v/>
      </c>
      <c r="AR101" s="130" t="n"/>
      <c r="AS101" s="38">
        <f>AR101*$C101</f>
        <v/>
      </c>
      <c r="AT101" s="130" t="n"/>
      <c r="AU101" s="38">
        <f>AT101*$C101</f>
        <v/>
      </c>
      <c r="AV101" s="130" t="n"/>
      <c r="AW101" s="38">
        <f>AV101*$C101</f>
        <v/>
      </c>
      <c r="AX101" s="130" t="n"/>
      <c r="AY101" s="38">
        <f>AX101*$C101</f>
        <v/>
      </c>
    </row>
    <row r="102">
      <c r="A102" s="56" t="inlineStr">
        <is>
          <t>SA08700CRR</t>
        </is>
      </c>
      <c r="B102" s="57" t="inlineStr">
        <is>
          <t>Dispute Resolutions/Validation of Claims: Claimant responses to requests (per response)</t>
        </is>
      </c>
      <c r="C102" s="126" t="n"/>
      <c r="D102" s="127" t="n"/>
      <c r="E102" s="38">
        <f>ROUND(C102*D102,2)</f>
        <v/>
      </c>
      <c r="F102" s="60" t="n"/>
      <c r="G102" s="128">
        <f t="array" ref="G102">SUMPRODUCT(L102:EZ102,--(MOD(COLUMN(L102:EZ102),2)=0))</f>
        <v/>
      </c>
      <c r="H102" s="38">
        <f t="array" ref="H102">SUMPRODUCT(L102:EZ102,MOD(COLUMN(L102:EZ102),2))</f>
        <v/>
      </c>
      <c r="I102" s="129">
        <f>D102-G102</f>
        <v/>
      </c>
      <c r="J102" s="40">
        <f>ROUND(E102,2)-ROUND(H102,2)</f>
        <v/>
      </c>
      <c r="K102" s="116">
        <f>IF(J102=0,"",IF(J102&lt;0,"IMPORTANT:  Over budget - Needs review","Currently at or under budget"))</f>
        <v/>
      </c>
      <c r="L102" s="130" t="n"/>
      <c r="M102" s="40">
        <f>L102*$C102</f>
        <v/>
      </c>
      <c r="N102" s="130" t="n"/>
      <c r="O102" s="40">
        <f>N102*$C102</f>
        <v/>
      </c>
      <c r="P102" s="130" t="n"/>
      <c r="Q102" s="40">
        <f>P102*$C102</f>
        <v/>
      </c>
      <c r="R102" s="130" t="n"/>
      <c r="S102" s="40">
        <f>R102*$C102</f>
        <v/>
      </c>
      <c r="T102" s="130" t="n"/>
      <c r="U102" s="64">
        <f>T102*$C102</f>
        <v/>
      </c>
      <c r="V102" s="130" t="n"/>
      <c r="W102" s="38">
        <f>V102*$C102</f>
        <v/>
      </c>
      <c r="X102" s="130" t="n"/>
      <c r="Y102" s="38">
        <f>X102*$C102</f>
        <v/>
      </c>
      <c r="Z102" s="130" t="n"/>
      <c r="AA102" s="38">
        <f>Z102*$C102</f>
        <v/>
      </c>
      <c r="AB102" s="130" t="n"/>
      <c r="AC102" s="38">
        <f>AB102*$C102</f>
        <v/>
      </c>
      <c r="AD102" s="130" t="n"/>
      <c r="AE102" s="38">
        <f>AD102*$C102</f>
        <v/>
      </c>
      <c r="AF102" s="130" t="n"/>
      <c r="AG102" s="38">
        <f>AF102*$C102</f>
        <v/>
      </c>
      <c r="AH102" s="130" t="n"/>
      <c r="AI102" s="38">
        <f>AH102*$C102</f>
        <v/>
      </c>
      <c r="AJ102" s="130" t="n"/>
      <c r="AK102" s="38">
        <f>AJ102*$C102</f>
        <v/>
      </c>
      <c r="AL102" s="130" t="n"/>
      <c r="AM102" s="38">
        <f>AL102*$C102</f>
        <v/>
      </c>
      <c r="AN102" s="130" t="n"/>
      <c r="AO102" s="38">
        <f>AN102*$C102</f>
        <v/>
      </c>
      <c r="AP102" s="130" t="n"/>
      <c r="AQ102" s="38">
        <f>AP102*$C102</f>
        <v/>
      </c>
      <c r="AR102" s="130" t="n"/>
      <c r="AS102" s="38">
        <f>AR102*$C102</f>
        <v/>
      </c>
      <c r="AT102" s="130" t="n"/>
      <c r="AU102" s="38">
        <f>AT102*$C102</f>
        <v/>
      </c>
      <c r="AV102" s="130" t="n"/>
      <c r="AW102" s="38">
        <f>AV102*$C102</f>
        <v/>
      </c>
      <c r="AX102" s="130" t="n"/>
      <c r="AY102" s="38">
        <f>AX102*$C102</f>
        <v/>
      </c>
    </row>
    <row r="103">
      <c r="A103" s="56" t="inlineStr">
        <is>
          <t>SA09100GDO</t>
        </is>
      </c>
      <c r="B103" s="57" t="inlineStr">
        <is>
          <t>Distribution Services: Generate distribution list (one time fee)</t>
        </is>
      </c>
      <c r="C103" s="126" t="n">
        <v>1500</v>
      </c>
      <c r="D103" s="127" t="n">
        <v>1</v>
      </c>
      <c r="E103" s="38">
        <f>ROUND(C103*D103,2)</f>
        <v/>
      </c>
      <c r="F103" s="60" t="n"/>
      <c r="G103" s="128">
        <f t="array" ref="G103">SUMPRODUCT(L103:EZ103,--(MOD(COLUMN(L103:EZ103),2)=0))</f>
        <v/>
      </c>
      <c r="H103" s="38">
        <f t="array" ref="H103">SUMPRODUCT(L103:EZ103,MOD(COLUMN(L103:EZ103),2))</f>
        <v/>
      </c>
      <c r="I103" s="129">
        <f>D103-G103</f>
        <v/>
      </c>
      <c r="J103" s="40">
        <f>ROUND(E103,2)-ROUND(H103,2)</f>
        <v/>
      </c>
      <c r="K103" s="116">
        <f>IF(J103=0,"",IF(J103&lt;0,"IMPORTANT:  Over budget - Needs review","Currently at or under budget"))</f>
        <v/>
      </c>
      <c r="L103" s="130" t="n"/>
      <c r="M103" s="40">
        <f>L103*$C103</f>
        <v/>
      </c>
      <c r="N103" s="130" t="n"/>
      <c r="O103" s="40">
        <f>N103*$C103</f>
        <v/>
      </c>
      <c r="P103" s="130" t="n"/>
      <c r="Q103" s="40">
        <f>P103*$C103</f>
        <v/>
      </c>
      <c r="R103" s="130" t="n"/>
      <c r="S103" s="40">
        <f>R103*$C103</f>
        <v/>
      </c>
      <c r="T103" s="130" t="n"/>
      <c r="U103" s="64">
        <f>T103*$C103</f>
        <v/>
      </c>
      <c r="V103" s="130" t="n"/>
      <c r="W103" s="38">
        <f>V103*$C103</f>
        <v/>
      </c>
      <c r="X103" s="130" t="n"/>
      <c r="Y103" s="38">
        <f>X103*$C103</f>
        <v/>
      </c>
      <c r="Z103" s="130" t="n"/>
      <c r="AA103" s="38">
        <f>Z103*$C103</f>
        <v/>
      </c>
      <c r="AB103" s="130" t="n"/>
      <c r="AC103" s="38">
        <f>AB103*$C103</f>
        <v/>
      </c>
      <c r="AD103" s="130" t="n"/>
      <c r="AE103" s="38">
        <f>AD103*$C103</f>
        <v/>
      </c>
      <c r="AF103" s="130" t="n"/>
      <c r="AG103" s="38">
        <f>AF103*$C103</f>
        <v/>
      </c>
      <c r="AH103" s="130" t="n"/>
      <c r="AI103" s="38">
        <f>AH103*$C103</f>
        <v/>
      </c>
      <c r="AJ103" s="130" t="n"/>
      <c r="AK103" s="38">
        <f>AJ103*$C103</f>
        <v/>
      </c>
      <c r="AL103" s="130" t="n"/>
      <c r="AM103" s="38">
        <f>AL103*$C103</f>
        <v/>
      </c>
      <c r="AN103" s="130" t="n"/>
      <c r="AO103" s="38">
        <f>AN103*$C103</f>
        <v/>
      </c>
      <c r="AP103" s="130" t="n"/>
      <c r="AQ103" s="38">
        <f>AP103*$C103</f>
        <v/>
      </c>
      <c r="AR103" s="130" t="n"/>
      <c r="AS103" s="38">
        <f>AR103*$C103</f>
        <v/>
      </c>
      <c r="AT103" s="130" t="n"/>
      <c r="AU103" s="38">
        <f>AT103*$C103</f>
        <v/>
      </c>
      <c r="AV103" s="130" t="n"/>
      <c r="AW103" s="38">
        <f>AV103*$C103</f>
        <v/>
      </c>
      <c r="AX103" s="130" t="n"/>
      <c r="AY103" s="38">
        <f>AX103*$C103</f>
        <v/>
      </c>
    </row>
    <row r="104">
      <c r="A104" s="56" t="inlineStr">
        <is>
          <t>SA09200PPC</t>
        </is>
      </c>
      <c r="B104" s="57" t="inlineStr">
        <is>
          <t>Distribution Services: Processing and printing distribution checks (per check)</t>
        </is>
      </c>
      <c r="C104" s="126" t="n">
        <v>1</v>
      </c>
      <c r="D104" s="127" t="n">
        <v>2166</v>
      </c>
      <c r="E104" s="38">
        <f>ROUND(C104*D104,2)</f>
        <v/>
      </c>
      <c r="F104" s="60" t="n"/>
      <c r="G104" s="128">
        <f t="array" ref="G104">SUMPRODUCT(L104:EZ104,--(MOD(COLUMN(L104:EZ104),2)=0))</f>
        <v/>
      </c>
      <c r="H104" s="38">
        <f t="array" ref="H104">SUMPRODUCT(L104:EZ104,MOD(COLUMN(L104:EZ104),2))</f>
        <v/>
      </c>
      <c r="I104" s="129">
        <f>D104-G104</f>
        <v/>
      </c>
      <c r="J104" s="40">
        <f>ROUND(E104,2)-ROUND(H104,2)</f>
        <v/>
      </c>
      <c r="K104" s="116">
        <f>IF(J104=0,"",IF(J104&lt;0,"IMPORTANT:  Over budget - Needs review","Currently at or under budget"))</f>
        <v/>
      </c>
      <c r="L104" s="130" t="n"/>
      <c r="M104" s="40">
        <f>L104*$C104</f>
        <v/>
      </c>
      <c r="N104" s="130" t="n"/>
      <c r="O104" s="40">
        <f>N104*$C104</f>
        <v/>
      </c>
      <c r="P104" s="130" t="n"/>
      <c r="Q104" s="40">
        <f>P104*$C104</f>
        <v/>
      </c>
      <c r="R104" s="130" t="n"/>
      <c r="S104" s="40">
        <f>R104*$C104</f>
        <v/>
      </c>
      <c r="T104" s="130" t="n"/>
      <c r="U104" s="64">
        <f>T104*$C104</f>
        <v/>
      </c>
      <c r="V104" s="130" t="n"/>
      <c r="W104" s="38">
        <f>V104*$C104</f>
        <v/>
      </c>
      <c r="X104" s="130" t="n"/>
      <c r="Y104" s="38">
        <f>X104*$C104</f>
        <v/>
      </c>
      <c r="Z104" s="130" t="n"/>
      <c r="AA104" s="38">
        <f>Z104*$C104</f>
        <v/>
      </c>
      <c r="AB104" s="130" t="n"/>
      <c r="AC104" s="38">
        <f>AB104*$C104</f>
        <v/>
      </c>
      <c r="AD104" s="130" t="n"/>
      <c r="AE104" s="38">
        <f>AD104*$C104</f>
        <v/>
      </c>
      <c r="AF104" s="130" t="n"/>
      <c r="AG104" s="38">
        <f>AF104*$C104</f>
        <v/>
      </c>
      <c r="AH104" s="130" t="n"/>
      <c r="AI104" s="38">
        <f>AH104*$C104</f>
        <v/>
      </c>
      <c r="AJ104" s="130" t="n"/>
      <c r="AK104" s="38">
        <f>AJ104*$C104</f>
        <v/>
      </c>
      <c r="AL104" s="130" t="n"/>
      <c r="AM104" s="38">
        <f>AL104*$C104</f>
        <v/>
      </c>
      <c r="AN104" s="130" t="n"/>
      <c r="AO104" s="38">
        <f>AN104*$C104</f>
        <v/>
      </c>
      <c r="AP104" s="130" t="n"/>
      <c r="AQ104" s="38">
        <f>AP104*$C104</f>
        <v/>
      </c>
      <c r="AR104" s="130" t="n"/>
      <c r="AS104" s="38">
        <f>AR104*$C104</f>
        <v/>
      </c>
      <c r="AT104" s="130" t="n"/>
      <c r="AU104" s="38">
        <f>AT104*$C104</f>
        <v/>
      </c>
      <c r="AV104" s="130" t="n"/>
      <c r="AW104" s="38">
        <f>AV104*$C104</f>
        <v/>
      </c>
      <c r="AX104" s="130" t="n"/>
      <c r="AY104" s="38">
        <f>AX104*$C104</f>
        <v/>
      </c>
    </row>
    <row r="105">
      <c r="A105" s="56" t="inlineStr">
        <is>
          <t>SA09250PPP</t>
        </is>
      </c>
      <c r="B105" s="57" t="inlineStr">
        <is>
          <t>Distribution Services: Processing and printing payments minimum (per mailing)</t>
        </is>
      </c>
      <c r="C105" s="126" t="n"/>
      <c r="D105" s="127" t="n"/>
      <c r="E105" s="38">
        <f>ROUND(C105*D105,2)</f>
        <v/>
      </c>
      <c r="F105" s="60" t="n"/>
      <c r="G105" s="128">
        <f t="array" ref="G105">SUMPRODUCT(L105:EZ105,--(MOD(COLUMN(L105:EZ105),2)=0))</f>
        <v/>
      </c>
      <c r="H105" s="38">
        <f t="array" ref="H105">SUMPRODUCT(L105:EZ105,MOD(COLUMN(L105:EZ105),2))</f>
        <v/>
      </c>
      <c r="I105" s="129">
        <f>D105-G105</f>
        <v/>
      </c>
      <c r="J105" s="40">
        <f>ROUND(E105,2)-ROUND(H105,2)</f>
        <v/>
      </c>
      <c r="K105" s="116">
        <f>IF(J105=0,"",IF(J105&lt;0,"IMPORTANT:  Over budget - Needs review","Currently at or under budget"))</f>
        <v/>
      </c>
      <c r="L105" s="130" t="n"/>
      <c r="M105" s="40">
        <f>L105*$C105</f>
        <v/>
      </c>
      <c r="N105" s="130" t="n"/>
      <c r="O105" s="40">
        <f>N105*$C105</f>
        <v/>
      </c>
      <c r="P105" s="130" t="n"/>
      <c r="Q105" s="40">
        <f>P105*$C105</f>
        <v/>
      </c>
      <c r="R105" s="130" t="n"/>
      <c r="S105" s="40">
        <f>R105*$C105</f>
        <v/>
      </c>
      <c r="T105" s="130" t="n"/>
      <c r="U105" s="64">
        <f>T105*$C105</f>
        <v/>
      </c>
      <c r="V105" s="130" t="n"/>
      <c r="W105" s="38">
        <f>V105*$C105</f>
        <v/>
      </c>
      <c r="X105" s="130" t="n"/>
      <c r="Y105" s="38">
        <f>X105*$C105</f>
        <v/>
      </c>
      <c r="Z105" s="130" t="n"/>
      <c r="AA105" s="38">
        <f>Z105*$C105</f>
        <v/>
      </c>
      <c r="AB105" s="130" t="n"/>
      <c r="AC105" s="38">
        <f>AB105*$C105</f>
        <v/>
      </c>
      <c r="AD105" s="130" t="n"/>
      <c r="AE105" s="38">
        <f>AD105*$C105</f>
        <v/>
      </c>
      <c r="AF105" s="130" t="n"/>
      <c r="AG105" s="38">
        <f>AF105*$C105</f>
        <v/>
      </c>
      <c r="AH105" s="130" t="n"/>
      <c r="AI105" s="38">
        <f>AH105*$C105</f>
        <v/>
      </c>
      <c r="AJ105" s="130" t="n"/>
      <c r="AK105" s="38">
        <f>AJ105*$C105</f>
        <v/>
      </c>
      <c r="AL105" s="130" t="n"/>
      <c r="AM105" s="38">
        <f>AL105*$C105</f>
        <v/>
      </c>
      <c r="AN105" s="130" t="n"/>
      <c r="AO105" s="38">
        <f>AN105*$C105</f>
        <v/>
      </c>
      <c r="AP105" s="130" t="n"/>
      <c r="AQ105" s="38">
        <f>AP105*$C105</f>
        <v/>
      </c>
      <c r="AR105" s="130" t="n"/>
      <c r="AS105" s="38">
        <f>AR105*$C105</f>
        <v/>
      </c>
      <c r="AT105" s="130" t="n"/>
      <c r="AU105" s="38">
        <f>AT105*$C105</f>
        <v/>
      </c>
      <c r="AV105" s="130" t="n"/>
      <c r="AW105" s="38">
        <f>AV105*$C105</f>
        <v/>
      </c>
      <c r="AX105" s="130" t="n"/>
      <c r="AY105" s="38">
        <f>AX105*$C105</f>
        <v/>
      </c>
    </row>
    <row r="106">
      <c r="A106" s="56" t="inlineStr">
        <is>
          <t>SA09300PEP</t>
        </is>
      </c>
      <c r="B106" s="57" t="inlineStr">
        <is>
          <t>Distribution Services: Processing and issuing electronic payments (per payment)</t>
        </is>
      </c>
      <c r="C106" s="126" t="n">
        <v>0.25</v>
      </c>
      <c r="D106" s="127" t="n">
        <v>19494</v>
      </c>
      <c r="E106" s="38">
        <f>ROUND(C106*D106,2)</f>
        <v/>
      </c>
      <c r="F106" s="60" t="n"/>
      <c r="G106" s="128">
        <f t="array" ref="G106">SUMPRODUCT(L106:EZ106,--(MOD(COLUMN(L106:EZ106),2)=0))</f>
        <v/>
      </c>
      <c r="H106" s="38">
        <f t="array" ref="H106">SUMPRODUCT(L106:EZ106,MOD(COLUMN(L106:EZ106),2))</f>
        <v/>
      </c>
      <c r="I106" s="129">
        <f>D106-G106</f>
        <v/>
      </c>
      <c r="J106" s="40">
        <f>ROUND(E106,2)-ROUND(H106,2)</f>
        <v/>
      </c>
      <c r="K106" s="116">
        <f>IF(J106=0,"",IF(J106&lt;0,"IMPORTANT:  Over budget - Needs review","Currently at or under budget"))</f>
        <v/>
      </c>
      <c r="L106" s="130" t="n"/>
      <c r="M106" s="40">
        <f>L106*$C106</f>
        <v/>
      </c>
      <c r="N106" s="130" t="n"/>
      <c r="O106" s="40">
        <f>N106*$C106</f>
        <v/>
      </c>
      <c r="P106" s="130" t="n"/>
      <c r="Q106" s="40">
        <f>P106*$C106</f>
        <v/>
      </c>
      <c r="R106" s="130" t="n"/>
      <c r="S106" s="40">
        <f>R106*$C106</f>
        <v/>
      </c>
      <c r="T106" s="130" t="n"/>
      <c r="U106" s="64">
        <f>T106*$C106</f>
        <v/>
      </c>
      <c r="V106" s="130" t="n"/>
      <c r="W106" s="38">
        <f>V106*$C106</f>
        <v/>
      </c>
      <c r="X106" s="130" t="n"/>
      <c r="Y106" s="38">
        <f>X106*$C106</f>
        <v/>
      </c>
      <c r="Z106" s="130" t="n"/>
      <c r="AA106" s="38">
        <f>Z106*$C106</f>
        <v/>
      </c>
      <c r="AB106" s="130" t="n"/>
      <c r="AC106" s="38">
        <f>AB106*$C106</f>
        <v/>
      </c>
      <c r="AD106" s="130" t="n"/>
      <c r="AE106" s="38">
        <f>AD106*$C106</f>
        <v/>
      </c>
      <c r="AF106" s="130" t="n"/>
      <c r="AG106" s="38">
        <f>AF106*$C106</f>
        <v/>
      </c>
      <c r="AH106" s="130" t="n"/>
      <c r="AI106" s="38">
        <f>AH106*$C106</f>
        <v/>
      </c>
      <c r="AJ106" s="130" t="n"/>
      <c r="AK106" s="38">
        <f>AJ106*$C106</f>
        <v/>
      </c>
      <c r="AL106" s="130" t="n"/>
      <c r="AM106" s="38">
        <f>AL106*$C106</f>
        <v/>
      </c>
      <c r="AN106" s="130" t="n"/>
      <c r="AO106" s="38">
        <f>AN106*$C106</f>
        <v/>
      </c>
      <c r="AP106" s="130" t="n"/>
      <c r="AQ106" s="38">
        <f>AP106*$C106</f>
        <v/>
      </c>
      <c r="AR106" s="130" t="n"/>
      <c r="AS106" s="38">
        <f>AR106*$C106</f>
        <v/>
      </c>
      <c r="AT106" s="130" t="n"/>
      <c r="AU106" s="38">
        <f>AT106*$C106</f>
        <v/>
      </c>
      <c r="AV106" s="130" t="n"/>
      <c r="AW106" s="38">
        <f>AV106*$C106</f>
        <v/>
      </c>
      <c r="AX106" s="130" t="n"/>
      <c r="AY106" s="38">
        <f>AX106*$C106</f>
        <v/>
      </c>
    </row>
    <row r="107">
      <c r="A107" s="56" t="inlineStr">
        <is>
          <t>SA09325PEP</t>
        </is>
      </c>
      <c r="B107" s="57" t="inlineStr">
        <is>
          <t>Distribution Services: Processing and issuing electronic payments - Tier 1 (per payment)</t>
        </is>
      </c>
      <c r="C107" s="126" t="n"/>
      <c r="D107" s="127" t="n"/>
      <c r="E107" s="38">
        <f>ROUND(C107*D107,2)</f>
        <v/>
      </c>
      <c r="F107" s="60" t="n"/>
      <c r="G107" s="128">
        <f t="array" ref="G107">SUMPRODUCT(L107:EZ107,--(MOD(COLUMN(L107:EZ107),2)=0))</f>
        <v/>
      </c>
      <c r="H107" s="38">
        <f t="array" ref="H107">SUMPRODUCT(L107:EZ107,MOD(COLUMN(L107:EZ107),2))</f>
        <v/>
      </c>
      <c r="I107" s="129">
        <f>D107-G107</f>
        <v/>
      </c>
      <c r="J107" s="40">
        <f>ROUND(E107,2)-ROUND(H107,2)</f>
        <v/>
      </c>
      <c r="K107" s="116">
        <f>IF(J107=0,"",IF(J107&lt;0,"IMPORTANT:  Over budget - Needs review","Currently at or under budget"))</f>
        <v/>
      </c>
      <c r="L107" s="130" t="n"/>
      <c r="M107" s="40">
        <f>L107*$C107</f>
        <v/>
      </c>
      <c r="N107" s="130" t="n"/>
      <c r="O107" s="40">
        <f>N107*$C107</f>
        <v/>
      </c>
      <c r="P107" s="130" t="n"/>
      <c r="Q107" s="40">
        <f>P107*$C107</f>
        <v/>
      </c>
      <c r="R107" s="130" t="n"/>
      <c r="S107" s="40">
        <f>R107*$C107</f>
        <v/>
      </c>
      <c r="T107" s="130" t="n"/>
      <c r="U107" s="64">
        <f>T107*$C107</f>
        <v/>
      </c>
      <c r="V107" s="130" t="n"/>
      <c r="W107" s="38">
        <f>V107*$C107</f>
        <v/>
      </c>
      <c r="X107" s="130" t="n"/>
      <c r="Y107" s="38">
        <f>X107*$C107</f>
        <v/>
      </c>
      <c r="Z107" s="130" t="n"/>
      <c r="AA107" s="38">
        <f>Z107*$C107</f>
        <v/>
      </c>
      <c r="AB107" s="130" t="n"/>
      <c r="AC107" s="38">
        <f>AB107*$C107</f>
        <v/>
      </c>
      <c r="AD107" s="130" t="n"/>
      <c r="AE107" s="38">
        <f>AD107*$C107</f>
        <v/>
      </c>
      <c r="AF107" s="130" t="n"/>
      <c r="AG107" s="38">
        <f>AF107*$C107</f>
        <v/>
      </c>
      <c r="AH107" s="130" t="n"/>
      <c r="AI107" s="38">
        <f>AH107*$C107</f>
        <v/>
      </c>
      <c r="AJ107" s="130" t="n"/>
      <c r="AK107" s="38">
        <f>AJ107*$C107</f>
        <v/>
      </c>
      <c r="AL107" s="130" t="n"/>
      <c r="AM107" s="38">
        <f>AL107*$C107</f>
        <v/>
      </c>
      <c r="AN107" s="130" t="n"/>
      <c r="AO107" s="38">
        <f>AN107*$C107</f>
        <v/>
      </c>
      <c r="AP107" s="130" t="n"/>
      <c r="AQ107" s="38">
        <f>AP107*$C107</f>
        <v/>
      </c>
      <c r="AR107" s="130" t="n"/>
      <c r="AS107" s="38">
        <f>AR107*$C107</f>
        <v/>
      </c>
      <c r="AT107" s="130" t="n"/>
      <c r="AU107" s="38">
        <f>AT107*$C107</f>
        <v/>
      </c>
      <c r="AV107" s="130" t="n"/>
      <c r="AW107" s="38">
        <f>AV107*$C107</f>
        <v/>
      </c>
      <c r="AX107" s="130" t="n"/>
      <c r="AY107" s="38">
        <f>AX107*$C107</f>
        <v/>
      </c>
    </row>
    <row r="108">
      <c r="A108" s="56" t="inlineStr">
        <is>
          <t>SA09326PEP</t>
        </is>
      </c>
      <c r="B108" s="57" t="inlineStr">
        <is>
          <t>Distribution Services: Processing and issuing electronic payments - Tier 2 (per payment)</t>
        </is>
      </c>
      <c r="C108" s="126" t="n"/>
      <c r="D108" s="127" t="n"/>
      <c r="E108" s="38">
        <f>ROUND(C108*D108,2)</f>
        <v/>
      </c>
      <c r="F108" s="60" t="n"/>
      <c r="G108" s="128">
        <f t="array" ref="G108">SUMPRODUCT(L108:EZ108,--(MOD(COLUMN(L108:EZ108),2)=0))</f>
        <v/>
      </c>
      <c r="H108" s="38">
        <f t="array" ref="H108">SUMPRODUCT(L108:EZ108,MOD(COLUMN(L108:EZ108),2))</f>
        <v/>
      </c>
      <c r="I108" s="129">
        <f>D108-G108</f>
        <v/>
      </c>
      <c r="J108" s="40">
        <f>ROUND(E108,2)-ROUND(H108,2)</f>
        <v/>
      </c>
      <c r="K108" s="116">
        <f>IF(J108=0,"",IF(J108&lt;0,"IMPORTANT:  Over budget - Needs review","Currently at or under budget"))</f>
        <v/>
      </c>
      <c r="L108" s="130" t="n"/>
      <c r="M108" s="40">
        <f>L108*$C108</f>
        <v/>
      </c>
      <c r="N108" s="130" t="n"/>
      <c r="O108" s="40">
        <f>N108*$C108</f>
        <v/>
      </c>
      <c r="P108" s="130" t="n"/>
      <c r="Q108" s="40">
        <f>P108*$C108</f>
        <v/>
      </c>
      <c r="R108" s="130" t="n"/>
      <c r="S108" s="40">
        <f>R108*$C108</f>
        <v/>
      </c>
      <c r="T108" s="130" t="n"/>
      <c r="U108" s="64">
        <f>T108*$C108</f>
        <v/>
      </c>
      <c r="V108" s="130" t="n"/>
      <c r="W108" s="38">
        <f>V108*$C108</f>
        <v/>
      </c>
      <c r="X108" s="130" t="n"/>
      <c r="Y108" s="38">
        <f>X108*$C108</f>
        <v/>
      </c>
      <c r="Z108" s="130" t="n"/>
      <c r="AA108" s="38">
        <f>Z108*$C108</f>
        <v/>
      </c>
      <c r="AB108" s="130" t="n"/>
      <c r="AC108" s="38">
        <f>AB108*$C108</f>
        <v/>
      </c>
      <c r="AD108" s="130" t="n"/>
      <c r="AE108" s="38">
        <f>AD108*$C108</f>
        <v/>
      </c>
      <c r="AF108" s="130" t="n"/>
      <c r="AG108" s="38">
        <f>AF108*$C108</f>
        <v/>
      </c>
      <c r="AH108" s="130" t="n"/>
      <c r="AI108" s="38">
        <f>AH108*$C108</f>
        <v/>
      </c>
      <c r="AJ108" s="130" t="n"/>
      <c r="AK108" s="38">
        <f>AJ108*$C108</f>
        <v/>
      </c>
      <c r="AL108" s="130" t="n"/>
      <c r="AM108" s="38">
        <f>AL108*$C108</f>
        <v/>
      </c>
      <c r="AN108" s="130" t="n"/>
      <c r="AO108" s="38">
        <f>AN108*$C108</f>
        <v/>
      </c>
      <c r="AP108" s="130" t="n"/>
      <c r="AQ108" s="38">
        <f>AP108*$C108</f>
        <v/>
      </c>
      <c r="AR108" s="130" t="n"/>
      <c r="AS108" s="38">
        <f>AR108*$C108</f>
        <v/>
      </c>
      <c r="AT108" s="130" t="n"/>
      <c r="AU108" s="38">
        <f>AT108*$C108</f>
        <v/>
      </c>
      <c r="AV108" s="130" t="n"/>
      <c r="AW108" s="38">
        <f>AV108*$C108</f>
        <v/>
      </c>
      <c r="AX108" s="130" t="n"/>
      <c r="AY108" s="38">
        <f>AX108*$C108</f>
        <v/>
      </c>
    </row>
    <row r="109">
      <c r="A109" s="56" t="inlineStr">
        <is>
          <t>SA09327PEP</t>
        </is>
      </c>
      <c r="B109" s="57" t="inlineStr">
        <is>
          <t>Distribution Services: Processing and issuing electronic payments - Tier 3 (per payment)</t>
        </is>
      </c>
      <c r="C109" s="126" t="n"/>
      <c r="D109" s="127" t="n"/>
      <c r="E109" s="38">
        <f>ROUND(C109*D109,2)</f>
        <v/>
      </c>
      <c r="F109" s="60" t="n"/>
      <c r="G109" s="128">
        <f t="array" ref="G109">SUMPRODUCT(L109:EZ109,--(MOD(COLUMN(L109:EZ109),2)=0))</f>
        <v/>
      </c>
      <c r="H109" s="38">
        <f t="array" ref="H109">SUMPRODUCT(L109:EZ109,MOD(COLUMN(L109:EZ109),2))</f>
        <v/>
      </c>
      <c r="I109" s="129">
        <f>D109-G109</f>
        <v/>
      </c>
      <c r="J109" s="40">
        <f>ROUND(E109,2)-ROUND(H109,2)</f>
        <v/>
      </c>
      <c r="K109" s="116">
        <f>IF(J109=0,"",IF(J109&lt;0,"IMPORTANT:  Over budget - Needs review","Currently at or under budget"))</f>
        <v/>
      </c>
      <c r="L109" s="130" t="n"/>
      <c r="M109" s="40">
        <f>L109*$C109</f>
        <v/>
      </c>
      <c r="N109" s="130" t="n"/>
      <c r="O109" s="40">
        <f>N109*$C109</f>
        <v/>
      </c>
      <c r="P109" s="130" t="n"/>
      <c r="Q109" s="40">
        <f>P109*$C109</f>
        <v/>
      </c>
      <c r="R109" s="130" t="n"/>
      <c r="S109" s="40">
        <f>R109*$C109</f>
        <v/>
      </c>
      <c r="T109" s="130" t="n"/>
      <c r="U109" s="64">
        <f>T109*$C109</f>
        <v/>
      </c>
      <c r="V109" s="130" t="n"/>
      <c r="W109" s="38">
        <f>V109*$C109</f>
        <v/>
      </c>
      <c r="X109" s="130" t="n"/>
      <c r="Y109" s="38">
        <f>X109*$C109</f>
        <v/>
      </c>
      <c r="Z109" s="130" t="n"/>
      <c r="AA109" s="38">
        <f>Z109*$C109</f>
        <v/>
      </c>
      <c r="AB109" s="130" t="n"/>
      <c r="AC109" s="38">
        <f>AB109*$C109</f>
        <v/>
      </c>
      <c r="AD109" s="130" t="n"/>
      <c r="AE109" s="38">
        <f>AD109*$C109</f>
        <v/>
      </c>
      <c r="AF109" s="130" t="n"/>
      <c r="AG109" s="38">
        <f>AF109*$C109</f>
        <v/>
      </c>
      <c r="AH109" s="130" t="n"/>
      <c r="AI109" s="38">
        <f>AH109*$C109</f>
        <v/>
      </c>
      <c r="AJ109" s="130" t="n"/>
      <c r="AK109" s="38">
        <f>AJ109*$C109</f>
        <v/>
      </c>
      <c r="AL109" s="130" t="n"/>
      <c r="AM109" s="38">
        <f>AL109*$C109</f>
        <v/>
      </c>
      <c r="AN109" s="130" t="n"/>
      <c r="AO109" s="38">
        <f>AN109*$C109</f>
        <v/>
      </c>
      <c r="AP109" s="130" t="n"/>
      <c r="AQ109" s="38">
        <f>AP109*$C109</f>
        <v/>
      </c>
      <c r="AR109" s="130" t="n"/>
      <c r="AS109" s="38">
        <f>AR109*$C109</f>
        <v/>
      </c>
      <c r="AT109" s="130" t="n"/>
      <c r="AU109" s="38">
        <f>AT109*$C109</f>
        <v/>
      </c>
      <c r="AV109" s="130" t="n"/>
      <c r="AW109" s="38">
        <f>AV109*$C109</f>
        <v/>
      </c>
      <c r="AX109" s="130" t="n"/>
      <c r="AY109" s="38">
        <f>AX109*$C109</f>
        <v/>
      </c>
    </row>
    <row r="110">
      <c r="A110" s="56" t="inlineStr">
        <is>
          <t>SA09328PEP</t>
        </is>
      </c>
      <c r="B110" s="57" t="inlineStr">
        <is>
          <t>Distribution Services: Processing and issuing electronic payments - Tier 4 (per payment)</t>
        </is>
      </c>
      <c r="C110" s="126" t="n"/>
      <c r="D110" s="127" t="n"/>
      <c r="E110" s="38">
        <f>ROUND(C110*D110,2)</f>
        <v/>
      </c>
      <c r="F110" s="60" t="n"/>
      <c r="G110" s="128">
        <f t="array" ref="G110">SUMPRODUCT(L110:EZ110,--(MOD(COLUMN(L110:EZ110),2)=0))</f>
        <v/>
      </c>
      <c r="H110" s="38">
        <f t="array" ref="H110">SUMPRODUCT(L110:EZ110,MOD(COLUMN(L110:EZ110),2))</f>
        <v/>
      </c>
      <c r="I110" s="129">
        <f>D110-G110</f>
        <v/>
      </c>
      <c r="J110" s="40">
        <f>ROUND(E110,2)-ROUND(H110,2)</f>
        <v/>
      </c>
      <c r="K110" s="116">
        <f>IF(J110=0,"",IF(J110&lt;0,"IMPORTANT:  Over budget - Needs review","Currently at or under budget"))</f>
        <v/>
      </c>
      <c r="L110" s="130" t="n"/>
      <c r="M110" s="40">
        <f>L110*$C110</f>
        <v/>
      </c>
      <c r="N110" s="130" t="n"/>
      <c r="O110" s="40">
        <f>N110*$C110</f>
        <v/>
      </c>
      <c r="P110" s="130" t="n"/>
      <c r="Q110" s="40">
        <f>P110*$C110</f>
        <v/>
      </c>
      <c r="R110" s="130" t="n"/>
      <c r="S110" s="40">
        <f>R110*$C110</f>
        <v/>
      </c>
      <c r="T110" s="130" t="n"/>
      <c r="U110" s="64">
        <f>T110*$C110</f>
        <v/>
      </c>
      <c r="V110" s="130" t="n"/>
      <c r="W110" s="38">
        <f>V110*$C110</f>
        <v/>
      </c>
      <c r="X110" s="130" t="n"/>
      <c r="Y110" s="38">
        <f>X110*$C110</f>
        <v/>
      </c>
      <c r="Z110" s="130" t="n"/>
      <c r="AA110" s="38">
        <f>Z110*$C110</f>
        <v/>
      </c>
      <c r="AB110" s="130" t="n"/>
      <c r="AC110" s="38">
        <f>AB110*$C110</f>
        <v/>
      </c>
      <c r="AD110" s="130" t="n"/>
      <c r="AE110" s="38">
        <f>AD110*$C110</f>
        <v/>
      </c>
      <c r="AF110" s="130" t="n"/>
      <c r="AG110" s="38">
        <f>AF110*$C110</f>
        <v/>
      </c>
      <c r="AH110" s="130" t="n"/>
      <c r="AI110" s="38">
        <f>AH110*$C110</f>
        <v/>
      </c>
      <c r="AJ110" s="130" t="n"/>
      <c r="AK110" s="38">
        <f>AJ110*$C110</f>
        <v/>
      </c>
      <c r="AL110" s="130" t="n"/>
      <c r="AM110" s="38">
        <f>AL110*$C110</f>
        <v/>
      </c>
      <c r="AN110" s="130" t="n"/>
      <c r="AO110" s="38">
        <f>AN110*$C110</f>
        <v/>
      </c>
      <c r="AP110" s="130" t="n"/>
      <c r="AQ110" s="38">
        <f>AP110*$C110</f>
        <v/>
      </c>
      <c r="AR110" s="130" t="n"/>
      <c r="AS110" s="38">
        <f>AR110*$C110</f>
        <v/>
      </c>
      <c r="AT110" s="130" t="n"/>
      <c r="AU110" s="38">
        <f>AT110*$C110</f>
        <v/>
      </c>
      <c r="AV110" s="130" t="n"/>
      <c r="AW110" s="38">
        <f>AV110*$C110</f>
        <v/>
      </c>
      <c r="AX110" s="130" t="n"/>
      <c r="AY110" s="38">
        <f>AX110*$C110</f>
        <v/>
      </c>
    </row>
    <row r="111">
      <c r="A111" s="56" t="inlineStr">
        <is>
          <t>SA09350PGP</t>
        </is>
      </c>
      <c r="B111" s="57" t="inlineStr">
        <is>
          <t>Distribution Services: Printing and issuing non-cash payment (per payment)</t>
        </is>
      </c>
      <c r="C111" s="126" t="n"/>
      <c r="D111" s="127" t="n"/>
      <c r="E111" s="38">
        <f>ROUND(C111*D111,2)</f>
        <v/>
      </c>
      <c r="F111" s="60" t="n"/>
      <c r="G111" s="128">
        <f t="array" ref="G111">SUMPRODUCT(L111:EZ111,--(MOD(COLUMN(L111:EZ111),2)=0))</f>
        <v/>
      </c>
      <c r="H111" s="38">
        <f t="array" ref="H111">SUMPRODUCT(L111:EZ111,MOD(COLUMN(L111:EZ111),2))</f>
        <v/>
      </c>
      <c r="I111" s="129">
        <f>D111-G111</f>
        <v/>
      </c>
      <c r="J111" s="40">
        <f>ROUND(E111,2)-ROUND(H111,2)</f>
        <v/>
      </c>
      <c r="K111" s="116">
        <f>IF(J111=0,"",IF(J111&lt;0,"IMPORTANT:  Over budget - Needs review","Currently at or under budget"))</f>
        <v/>
      </c>
      <c r="L111" s="130" t="n"/>
      <c r="M111" s="40">
        <f>L111*$C111</f>
        <v/>
      </c>
      <c r="N111" s="130" t="n"/>
      <c r="O111" s="40">
        <f>N111*$C111</f>
        <v/>
      </c>
      <c r="P111" s="130" t="n"/>
      <c r="Q111" s="40">
        <f>P111*$C111</f>
        <v/>
      </c>
      <c r="R111" s="130" t="n"/>
      <c r="S111" s="40">
        <f>R111*$C111</f>
        <v/>
      </c>
      <c r="T111" s="130" t="n"/>
      <c r="U111" s="64">
        <f>T111*$C111</f>
        <v/>
      </c>
      <c r="V111" s="130" t="n"/>
      <c r="W111" s="38">
        <f>V111*$C111</f>
        <v/>
      </c>
      <c r="X111" s="130" t="n"/>
      <c r="Y111" s="38">
        <f>X111*$C111</f>
        <v/>
      </c>
      <c r="Z111" s="130" t="n"/>
      <c r="AA111" s="38">
        <f>Z111*$C111</f>
        <v/>
      </c>
      <c r="AB111" s="130" t="n"/>
      <c r="AC111" s="38">
        <f>AB111*$C111</f>
        <v/>
      </c>
      <c r="AD111" s="130" t="n"/>
      <c r="AE111" s="38">
        <f>AD111*$C111</f>
        <v/>
      </c>
      <c r="AF111" s="130" t="n"/>
      <c r="AG111" s="38">
        <f>AF111*$C111</f>
        <v/>
      </c>
      <c r="AH111" s="130" t="n"/>
      <c r="AI111" s="38">
        <f>AH111*$C111</f>
        <v/>
      </c>
      <c r="AJ111" s="130" t="n"/>
      <c r="AK111" s="38">
        <f>AJ111*$C111</f>
        <v/>
      </c>
      <c r="AL111" s="130" t="n"/>
      <c r="AM111" s="38">
        <f>AL111*$C111</f>
        <v/>
      </c>
      <c r="AN111" s="130" t="n"/>
      <c r="AO111" s="38">
        <f>AN111*$C111</f>
        <v/>
      </c>
      <c r="AP111" s="130" t="n"/>
      <c r="AQ111" s="38">
        <f>AP111*$C111</f>
        <v/>
      </c>
      <c r="AR111" s="130" t="n"/>
      <c r="AS111" s="38">
        <f>AR111*$C111</f>
        <v/>
      </c>
      <c r="AT111" s="130" t="n"/>
      <c r="AU111" s="38">
        <f>AT111*$C111</f>
        <v/>
      </c>
      <c r="AV111" s="130" t="n"/>
      <c r="AW111" s="38">
        <f>AV111*$C111</f>
        <v/>
      </c>
      <c r="AX111" s="130" t="n"/>
      <c r="AY111" s="38">
        <f>AX111*$C111</f>
        <v/>
      </c>
    </row>
    <row r="112">
      <c r="A112" s="56" t="inlineStr">
        <is>
          <t>SA09380PGP</t>
        </is>
      </c>
      <c r="B112" s="57" t="inlineStr">
        <is>
          <t>Distribution Services: Generate email address list (one time)</t>
        </is>
      </c>
      <c r="C112" s="126" t="n"/>
      <c r="D112" s="127" t="n"/>
      <c r="E112" s="38">
        <f>ROUND(C112*D112,2)</f>
        <v/>
      </c>
      <c r="F112" s="60" t="n"/>
      <c r="G112" s="128">
        <f t="array" ref="G112">SUMPRODUCT(L112:EZ112,--(MOD(COLUMN(L112:EZ112),2)=0))</f>
        <v/>
      </c>
      <c r="H112" s="38">
        <f t="array" ref="H112">SUMPRODUCT(L112:EZ112,MOD(COLUMN(L112:EZ112),2))</f>
        <v/>
      </c>
      <c r="I112" s="129">
        <f>D112-G112</f>
        <v/>
      </c>
      <c r="J112" s="40">
        <f>ROUND(E112,2)-ROUND(H112,2)</f>
        <v/>
      </c>
      <c r="K112" s="116">
        <f>IF(J112=0,"",IF(J112&lt;0,"IMPORTANT:  Over budget - Needs review","Currently at or under budget"))</f>
        <v/>
      </c>
      <c r="L112" s="130" t="n"/>
      <c r="M112" s="40">
        <f>L112*$C112</f>
        <v/>
      </c>
      <c r="N112" s="130" t="n"/>
      <c r="O112" s="40">
        <f>N112*$C112</f>
        <v/>
      </c>
      <c r="P112" s="130" t="n"/>
      <c r="Q112" s="40">
        <f>P112*$C112</f>
        <v/>
      </c>
      <c r="R112" s="130" t="n"/>
      <c r="S112" s="40">
        <f>R112*$C112</f>
        <v/>
      </c>
      <c r="T112" s="130" t="n"/>
      <c r="U112" s="64">
        <f>T112*$C112</f>
        <v/>
      </c>
      <c r="V112" s="130" t="n"/>
      <c r="W112" s="38">
        <f>V112*$C112</f>
        <v/>
      </c>
      <c r="X112" s="130" t="n"/>
      <c r="Y112" s="38">
        <f>X112*$C112</f>
        <v/>
      </c>
      <c r="Z112" s="130" t="n"/>
      <c r="AA112" s="38">
        <f>Z112*$C112</f>
        <v/>
      </c>
      <c r="AB112" s="130" t="n"/>
      <c r="AC112" s="38">
        <f>AB112*$C112</f>
        <v/>
      </c>
      <c r="AD112" s="130" t="n"/>
      <c r="AE112" s="38">
        <f>AD112*$C112</f>
        <v/>
      </c>
      <c r="AF112" s="130" t="n"/>
      <c r="AG112" s="38">
        <f>AF112*$C112</f>
        <v/>
      </c>
      <c r="AH112" s="130" t="n"/>
      <c r="AI112" s="38">
        <f>AH112*$C112</f>
        <v/>
      </c>
      <c r="AJ112" s="130" t="n"/>
      <c r="AK112" s="38">
        <f>AJ112*$C112</f>
        <v/>
      </c>
      <c r="AL112" s="130" t="n"/>
      <c r="AM112" s="38">
        <f>AL112*$C112</f>
        <v/>
      </c>
      <c r="AN112" s="130" t="n"/>
      <c r="AO112" s="38">
        <f>AN112*$C112</f>
        <v/>
      </c>
      <c r="AP112" s="130" t="n"/>
      <c r="AQ112" s="38">
        <f>AP112*$C112</f>
        <v/>
      </c>
      <c r="AR112" s="130" t="n"/>
      <c r="AS112" s="38">
        <f>AR112*$C112</f>
        <v/>
      </c>
      <c r="AT112" s="130" t="n"/>
      <c r="AU112" s="38">
        <f>AT112*$C112</f>
        <v/>
      </c>
      <c r="AV112" s="130" t="n"/>
      <c r="AW112" s="38">
        <f>AV112*$C112</f>
        <v/>
      </c>
      <c r="AX112" s="130" t="n"/>
      <c r="AY112" s="38">
        <f>AX112*$C112</f>
        <v/>
      </c>
    </row>
    <row r="113">
      <c r="A113" s="56" t="inlineStr">
        <is>
          <t>SA09390PGP</t>
        </is>
      </c>
      <c r="B113" s="57" t="inlineStr">
        <is>
          <t>Distribution Services: Distribution email list cleanse and hygiene (one time)</t>
        </is>
      </c>
      <c r="C113" s="126" t="n">
        <v>350</v>
      </c>
      <c r="D113" s="127" t="n">
        <v>1</v>
      </c>
      <c r="E113" s="38">
        <f>ROUND(C113*D113,2)</f>
        <v/>
      </c>
      <c r="F113" s="60" t="n"/>
      <c r="G113" s="128">
        <f t="array" ref="G113">SUMPRODUCT(L113:EZ113,--(MOD(COLUMN(L113:EZ113),2)=0))</f>
        <v/>
      </c>
      <c r="H113" s="38">
        <f t="array" ref="H113">SUMPRODUCT(L113:EZ113,MOD(COLUMN(L113:EZ113),2))</f>
        <v/>
      </c>
      <c r="I113" s="129">
        <f>D113-G113</f>
        <v/>
      </c>
      <c r="J113" s="40">
        <f>ROUND(E113,2)-ROUND(H113,2)</f>
        <v/>
      </c>
      <c r="K113" s="116">
        <f>IF(J113=0,"",IF(J113&lt;0,"IMPORTANT:  Over budget - Needs review","Currently at or under budget"))</f>
        <v/>
      </c>
      <c r="L113" s="130" t="n"/>
      <c r="M113" s="40">
        <f>L113*$C113</f>
        <v/>
      </c>
      <c r="N113" s="130" t="n"/>
      <c r="O113" s="40">
        <f>N113*$C113</f>
        <v/>
      </c>
      <c r="P113" s="130" t="n"/>
      <c r="Q113" s="40">
        <f>P113*$C113</f>
        <v/>
      </c>
      <c r="R113" s="130" t="n"/>
      <c r="S113" s="40">
        <f>R113*$C113</f>
        <v/>
      </c>
      <c r="T113" s="130" t="n"/>
      <c r="U113" s="64">
        <f>T113*$C113</f>
        <v/>
      </c>
      <c r="V113" s="130" t="n"/>
      <c r="W113" s="38">
        <f>V113*$C113</f>
        <v/>
      </c>
      <c r="X113" s="130" t="n"/>
      <c r="Y113" s="38">
        <f>X113*$C113</f>
        <v/>
      </c>
      <c r="Z113" s="130" t="n"/>
      <c r="AA113" s="38">
        <f>Z113*$C113</f>
        <v/>
      </c>
      <c r="AB113" s="130" t="n"/>
      <c r="AC113" s="38">
        <f>AB113*$C113</f>
        <v/>
      </c>
      <c r="AD113" s="130" t="n"/>
      <c r="AE113" s="38">
        <f>AD113*$C113</f>
        <v/>
      </c>
      <c r="AF113" s="130" t="n"/>
      <c r="AG113" s="38">
        <f>AF113*$C113</f>
        <v/>
      </c>
      <c r="AH113" s="130" t="n"/>
      <c r="AI113" s="38">
        <f>AH113*$C113</f>
        <v/>
      </c>
      <c r="AJ113" s="130" t="n"/>
      <c r="AK113" s="38">
        <f>AJ113*$C113</f>
        <v/>
      </c>
      <c r="AL113" s="130" t="n"/>
      <c r="AM113" s="38">
        <f>AL113*$C113</f>
        <v/>
      </c>
      <c r="AN113" s="130" t="n"/>
      <c r="AO113" s="38">
        <f>AN113*$C113</f>
        <v/>
      </c>
      <c r="AP113" s="130" t="n"/>
      <c r="AQ113" s="38">
        <f>AP113*$C113</f>
        <v/>
      </c>
      <c r="AR113" s="130" t="n"/>
      <c r="AS113" s="38">
        <f>AR113*$C113</f>
        <v/>
      </c>
      <c r="AT113" s="130" t="n"/>
      <c r="AU113" s="38">
        <f>AT113*$C113</f>
        <v/>
      </c>
      <c r="AV113" s="130" t="n"/>
      <c r="AW113" s="38">
        <f>AV113*$C113</f>
        <v/>
      </c>
      <c r="AX113" s="130" t="n"/>
      <c r="AY113" s="38">
        <f>AX113*$C113</f>
        <v/>
      </c>
    </row>
    <row r="114">
      <c r="A114" s="56" t="inlineStr">
        <is>
          <t>SA09410PGP</t>
        </is>
      </c>
      <c r="B114" s="57" t="inlineStr">
        <is>
          <t>Distribution Services:  Emailing of non-cash payments (per email)</t>
        </is>
      </c>
      <c r="C114" s="126" t="n">
        <v>0.05</v>
      </c>
      <c r="D114" s="127" t="n">
        <v>19494</v>
      </c>
      <c r="E114" s="38">
        <f>ROUND(C114*D114,2)</f>
        <v/>
      </c>
      <c r="F114" s="60" t="n"/>
      <c r="G114" s="128">
        <f t="array" ref="G114">SUMPRODUCT(L114:EZ114,--(MOD(COLUMN(L114:EZ114),2)=0))</f>
        <v/>
      </c>
      <c r="H114" s="38">
        <f t="array" ref="H114">SUMPRODUCT(L114:EZ114,MOD(COLUMN(L114:EZ114),2))</f>
        <v/>
      </c>
      <c r="I114" s="129">
        <f>D114-G114</f>
        <v/>
      </c>
      <c r="J114" s="40">
        <f>ROUND(E114,2)-ROUND(H114,2)</f>
        <v/>
      </c>
      <c r="K114" s="116">
        <f>IF(J114=0,"",IF(J114&lt;0,"IMPORTANT:  Over budget - Needs review","Currently at or under budget"))</f>
        <v/>
      </c>
      <c r="L114" s="130" t="n"/>
      <c r="M114" s="40">
        <f>L114*$C114</f>
        <v/>
      </c>
      <c r="N114" s="130" t="n"/>
      <c r="O114" s="40">
        <f>N114*$C114</f>
        <v/>
      </c>
      <c r="P114" s="130" t="n"/>
      <c r="Q114" s="40">
        <f>P114*$C114</f>
        <v/>
      </c>
      <c r="R114" s="130" t="n"/>
      <c r="S114" s="40">
        <f>R114*$C114</f>
        <v/>
      </c>
      <c r="T114" s="130" t="n"/>
      <c r="U114" s="64">
        <f>T114*$C114</f>
        <v/>
      </c>
      <c r="V114" s="130" t="n"/>
      <c r="W114" s="38">
        <f>V114*$C114</f>
        <v/>
      </c>
      <c r="X114" s="130" t="n"/>
      <c r="Y114" s="38">
        <f>X114*$C114</f>
        <v/>
      </c>
      <c r="Z114" s="130" t="n"/>
      <c r="AA114" s="38">
        <f>Z114*$C114</f>
        <v/>
      </c>
      <c r="AB114" s="130" t="n"/>
      <c r="AC114" s="38">
        <f>AB114*$C114</f>
        <v/>
      </c>
      <c r="AD114" s="130" t="n"/>
      <c r="AE114" s="38">
        <f>AD114*$C114</f>
        <v/>
      </c>
      <c r="AF114" s="130" t="n"/>
      <c r="AG114" s="38">
        <f>AF114*$C114</f>
        <v/>
      </c>
      <c r="AH114" s="130" t="n"/>
      <c r="AI114" s="38">
        <f>AH114*$C114</f>
        <v/>
      </c>
      <c r="AJ114" s="130" t="n"/>
      <c r="AK114" s="38">
        <f>AJ114*$C114</f>
        <v/>
      </c>
      <c r="AL114" s="130" t="n"/>
      <c r="AM114" s="38">
        <f>AL114*$C114</f>
        <v/>
      </c>
      <c r="AN114" s="130" t="n"/>
      <c r="AO114" s="38">
        <f>AN114*$C114</f>
        <v/>
      </c>
      <c r="AP114" s="130" t="n"/>
      <c r="AQ114" s="38">
        <f>AP114*$C114</f>
        <v/>
      </c>
      <c r="AR114" s="130" t="n"/>
      <c r="AS114" s="38">
        <f>AR114*$C114</f>
        <v/>
      </c>
      <c r="AT114" s="130" t="n"/>
      <c r="AU114" s="38">
        <f>AT114*$C114</f>
        <v/>
      </c>
      <c r="AV114" s="130" t="n"/>
      <c r="AW114" s="38">
        <f>AV114*$C114</f>
        <v/>
      </c>
      <c r="AX114" s="130" t="n"/>
      <c r="AY114" s="38">
        <f>AX114*$C114</f>
        <v/>
      </c>
    </row>
    <row r="115">
      <c r="A115" s="56" t="inlineStr">
        <is>
          <t>SA09440PGP</t>
        </is>
      </c>
      <c r="B115" s="57" t="inlineStr">
        <is>
          <t>Distribution Services:  Acquiring credit monitoring codes (per email)</t>
        </is>
      </c>
      <c r="C115" s="126" t="n"/>
      <c r="D115" s="127" t="n"/>
      <c r="E115" s="38">
        <f>ROUND(C115*D115,2)</f>
        <v/>
      </c>
      <c r="F115" s="60" t="n"/>
      <c r="G115" s="128">
        <f t="array" ref="G115">SUMPRODUCT(L115:EZ115,--(MOD(COLUMN(L115:EZ115),2)=0))</f>
        <v/>
      </c>
      <c r="H115" s="38">
        <f t="array" ref="H115">SUMPRODUCT(L115:EZ115,MOD(COLUMN(L115:EZ115),2))</f>
        <v/>
      </c>
      <c r="I115" s="129">
        <f>D115-G115</f>
        <v/>
      </c>
      <c r="J115" s="40">
        <f>ROUND(E115,2)-ROUND(H115,2)</f>
        <v/>
      </c>
      <c r="K115" s="116">
        <f>IF(J115=0,"",IF(J115&lt;0,"IMPORTANT:  Over budget - Needs review","Currently at or under budget"))</f>
        <v/>
      </c>
      <c r="L115" s="130" t="n"/>
      <c r="M115" s="40">
        <f>L115*$C115</f>
        <v/>
      </c>
      <c r="N115" s="130" t="n"/>
      <c r="O115" s="40">
        <f>N115*$C115</f>
        <v/>
      </c>
      <c r="P115" s="130" t="n"/>
      <c r="Q115" s="40">
        <f>P115*$C115</f>
        <v/>
      </c>
      <c r="R115" s="130" t="n"/>
      <c r="S115" s="40">
        <f>R115*$C115</f>
        <v/>
      </c>
      <c r="T115" s="130" t="n"/>
      <c r="U115" s="64">
        <f>T115*$C115</f>
        <v/>
      </c>
      <c r="V115" s="130" t="n"/>
      <c r="W115" s="38">
        <f>V115*$C115</f>
        <v/>
      </c>
      <c r="X115" s="130" t="n"/>
      <c r="Y115" s="38">
        <f>X115*$C115</f>
        <v/>
      </c>
      <c r="Z115" s="130" t="n"/>
      <c r="AA115" s="38">
        <f>Z115*$C115</f>
        <v/>
      </c>
      <c r="AB115" s="130" t="n"/>
      <c r="AC115" s="38">
        <f>AB115*$C115</f>
        <v/>
      </c>
      <c r="AD115" s="130" t="n"/>
      <c r="AE115" s="38">
        <f>AD115*$C115</f>
        <v/>
      </c>
      <c r="AF115" s="130" t="n"/>
      <c r="AG115" s="38">
        <f>AF115*$C115</f>
        <v/>
      </c>
      <c r="AH115" s="130" t="n"/>
      <c r="AI115" s="38">
        <f>AH115*$C115</f>
        <v/>
      </c>
      <c r="AJ115" s="130" t="n"/>
      <c r="AK115" s="38">
        <f>AJ115*$C115</f>
        <v/>
      </c>
      <c r="AL115" s="130" t="n"/>
      <c r="AM115" s="38">
        <f>AL115*$C115</f>
        <v/>
      </c>
      <c r="AN115" s="130" t="n"/>
      <c r="AO115" s="38">
        <f>AN115*$C115</f>
        <v/>
      </c>
      <c r="AP115" s="130" t="n"/>
      <c r="AQ115" s="38">
        <f>AP115*$C115</f>
        <v/>
      </c>
      <c r="AR115" s="130" t="n"/>
      <c r="AS115" s="38">
        <f>AR115*$C115</f>
        <v/>
      </c>
      <c r="AT115" s="130" t="n"/>
      <c r="AU115" s="38">
        <f>AT115*$C115</f>
        <v/>
      </c>
      <c r="AV115" s="130" t="n"/>
      <c r="AW115" s="38">
        <f>AV115*$C115</f>
        <v/>
      </c>
      <c r="AX115" s="130" t="n"/>
      <c r="AY115" s="38">
        <f>AX115*$C115</f>
        <v/>
      </c>
    </row>
    <row r="116">
      <c r="A116" s="56" t="inlineStr">
        <is>
          <t>SA09470PGP</t>
        </is>
      </c>
      <c r="B116" s="57" t="inlineStr">
        <is>
          <t>Distribution Services:  Emailing of credit monitoring codes (per email)</t>
        </is>
      </c>
      <c r="C116" s="126" t="n"/>
      <c r="D116" s="127" t="n"/>
      <c r="E116" s="38">
        <f>ROUND(C116*D116,2)</f>
        <v/>
      </c>
      <c r="F116" s="60" t="n"/>
      <c r="G116" s="128">
        <f t="array" ref="G116">SUMPRODUCT(L116:EZ116,--(MOD(COLUMN(L116:EZ116),2)=0))</f>
        <v/>
      </c>
      <c r="H116" s="38">
        <f t="array" ref="H116">SUMPRODUCT(L116:EZ116,MOD(COLUMN(L116:EZ116),2))</f>
        <v/>
      </c>
      <c r="I116" s="129">
        <f>D116-G116</f>
        <v/>
      </c>
      <c r="J116" s="40">
        <f>ROUND(E116,2)-ROUND(H116,2)</f>
        <v/>
      </c>
      <c r="K116" s="116">
        <f>IF(J116=0,"",IF(J116&lt;0,"IMPORTANT:  Over budget - Needs review","Currently at or under budget"))</f>
        <v/>
      </c>
      <c r="L116" s="130" t="n"/>
      <c r="M116" s="40">
        <f>L116*$C116</f>
        <v/>
      </c>
      <c r="N116" s="130" t="n"/>
      <c r="O116" s="40">
        <f>N116*$C116</f>
        <v/>
      </c>
      <c r="P116" s="130" t="n"/>
      <c r="Q116" s="40">
        <f>P116*$C116</f>
        <v/>
      </c>
      <c r="R116" s="130" t="n"/>
      <c r="S116" s="40">
        <f>R116*$C116</f>
        <v/>
      </c>
      <c r="T116" s="130" t="n"/>
      <c r="U116" s="64">
        <f>T116*$C116</f>
        <v/>
      </c>
      <c r="V116" s="130" t="n"/>
      <c r="W116" s="38">
        <f>V116*$C116</f>
        <v/>
      </c>
      <c r="X116" s="130" t="n"/>
      <c r="Y116" s="38">
        <f>X116*$C116</f>
        <v/>
      </c>
      <c r="Z116" s="130" t="n"/>
      <c r="AA116" s="38">
        <f>Z116*$C116</f>
        <v/>
      </c>
      <c r="AB116" s="130" t="n"/>
      <c r="AC116" s="38">
        <f>AB116*$C116</f>
        <v/>
      </c>
      <c r="AD116" s="130" t="n"/>
      <c r="AE116" s="38">
        <f>AD116*$C116</f>
        <v/>
      </c>
      <c r="AF116" s="130" t="n"/>
      <c r="AG116" s="38">
        <f>AF116*$C116</f>
        <v/>
      </c>
      <c r="AH116" s="130" t="n"/>
      <c r="AI116" s="38">
        <f>AH116*$C116</f>
        <v/>
      </c>
      <c r="AJ116" s="130" t="n"/>
      <c r="AK116" s="38">
        <f>AJ116*$C116</f>
        <v/>
      </c>
      <c r="AL116" s="130" t="n"/>
      <c r="AM116" s="38">
        <f>AL116*$C116</f>
        <v/>
      </c>
      <c r="AN116" s="130" t="n"/>
      <c r="AO116" s="38">
        <f>AN116*$C116</f>
        <v/>
      </c>
      <c r="AP116" s="130" t="n"/>
      <c r="AQ116" s="38">
        <f>AP116*$C116</f>
        <v/>
      </c>
      <c r="AR116" s="130" t="n"/>
      <c r="AS116" s="38">
        <f>AR116*$C116</f>
        <v/>
      </c>
      <c r="AT116" s="130" t="n"/>
      <c r="AU116" s="38">
        <f>AT116*$C116</f>
        <v/>
      </c>
      <c r="AV116" s="130" t="n"/>
      <c r="AW116" s="38">
        <f>AV116*$C116</f>
        <v/>
      </c>
      <c r="AX116" s="130" t="n"/>
      <c r="AY116" s="38">
        <f>AX116*$C116</f>
        <v/>
      </c>
    </row>
    <row r="117">
      <c r="A117" s="56" t="inlineStr">
        <is>
          <t>SA09500PCC</t>
        </is>
      </c>
      <c r="B117" s="57" t="inlineStr">
        <is>
          <t>Distribution Services: Process checks returned as undeliverable (per check)</t>
        </is>
      </c>
      <c r="C117" s="126" t="n">
        <v>0.25</v>
      </c>
      <c r="D117" s="127" t="n">
        <v>87</v>
      </c>
      <c r="E117" s="38">
        <f>ROUND(C117*D117,2)</f>
        <v/>
      </c>
      <c r="F117" s="60" t="n"/>
      <c r="G117" s="128">
        <f t="array" ref="G117">SUMPRODUCT(L117:EZ117,--(MOD(COLUMN(L117:EZ117),2)=0))</f>
        <v/>
      </c>
      <c r="H117" s="38">
        <f t="array" ref="H117">SUMPRODUCT(L117:EZ117,MOD(COLUMN(L117:EZ117),2))</f>
        <v/>
      </c>
      <c r="I117" s="129">
        <f>D117-G117</f>
        <v/>
      </c>
      <c r="J117" s="40">
        <f>ROUND(E117,2)-ROUND(H117,2)</f>
        <v/>
      </c>
      <c r="K117" s="116">
        <f>IF(J117=0,"",IF(J117&lt;0,"IMPORTANT:  Over budget - Needs review","Currently at or under budget"))</f>
        <v/>
      </c>
      <c r="L117" s="130" t="n"/>
      <c r="M117" s="40">
        <f>L117*$C117</f>
        <v/>
      </c>
      <c r="N117" s="130" t="n"/>
      <c r="O117" s="40">
        <f>N117*$C117</f>
        <v/>
      </c>
      <c r="P117" s="130" t="n"/>
      <c r="Q117" s="40">
        <f>P117*$C117</f>
        <v/>
      </c>
      <c r="R117" s="130" t="n"/>
      <c r="S117" s="40">
        <f>R117*$C117</f>
        <v/>
      </c>
      <c r="T117" s="130" t="n"/>
      <c r="U117" s="64">
        <f>T117*$C117</f>
        <v/>
      </c>
      <c r="V117" s="130" t="n"/>
      <c r="W117" s="38">
        <f>V117*$C117</f>
        <v/>
      </c>
      <c r="X117" s="130" t="n"/>
      <c r="Y117" s="38">
        <f>X117*$C117</f>
        <v/>
      </c>
      <c r="Z117" s="130" t="n"/>
      <c r="AA117" s="38">
        <f>Z117*$C117</f>
        <v/>
      </c>
      <c r="AB117" s="130" t="n"/>
      <c r="AC117" s="38">
        <f>AB117*$C117</f>
        <v/>
      </c>
      <c r="AD117" s="130" t="n"/>
      <c r="AE117" s="38">
        <f>AD117*$C117</f>
        <v/>
      </c>
      <c r="AF117" s="130" t="n"/>
      <c r="AG117" s="38">
        <f>AF117*$C117</f>
        <v/>
      </c>
      <c r="AH117" s="130" t="n"/>
      <c r="AI117" s="38">
        <f>AH117*$C117</f>
        <v/>
      </c>
      <c r="AJ117" s="130" t="n"/>
      <c r="AK117" s="38">
        <f>AJ117*$C117</f>
        <v/>
      </c>
      <c r="AL117" s="130" t="n"/>
      <c r="AM117" s="38">
        <f>AL117*$C117</f>
        <v/>
      </c>
      <c r="AN117" s="130" t="n"/>
      <c r="AO117" s="38">
        <f>AN117*$C117</f>
        <v/>
      </c>
      <c r="AP117" s="130" t="n"/>
      <c r="AQ117" s="38">
        <f>AP117*$C117</f>
        <v/>
      </c>
      <c r="AR117" s="130" t="n"/>
      <c r="AS117" s="38">
        <f>AR117*$C117</f>
        <v/>
      </c>
      <c r="AT117" s="130" t="n"/>
      <c r="AU117" s="38">
        <f>AT117*$C117</f>
        <v/>
      </c>
      <c r="AV117" s="130" t="n"/>
      <c r="AW117" s="38">
        <f>AV117*$C117</f>
        <v/>
      </c>
      <c r="AX117" s="130" t="n"/>
      <c r="AY117" s="38">
        <f>AX117*$C117</f>
        <v/>
      </c>
    </row>
    <row r="118">
      <c r="A118" s="56" t="inlineStr">
        <is>
          <t>SA09550STC</t>
        </is>
      </c>
      <c r="B118" s="57" t="inlineStr">
        <is>
          <t>Distribution Services: Skip-tracing return checks (per check)</t>
        </is>
      </c>
      <c r="C118" s="126" t="n">
        <v>0.75</v>
      </c>
      <c r="D118" s="127" t="n">
        <v>87</v>
      </c>
      <c r="E118" s="38">
        <f>ROUND(C118*D118,2)</f>
        <v/>
      </c>
      <c r="F118" s="60" t="n"/>
      <c r="G118" s="128">
        <f t="array" ref="G118">SUMPRODUCT(L118:EZ118,--(MOD(COLUMN(L118:EZ118),2)=0))</f>
        <v/>
      </c>
      <c r="H118" s="38">
        <f t="array" ref="H118">SUMPRODUCT(L118:EZ118,MOD(COLUMN(L118:EZ118),2))</f>
        <v/>
      </c>
      <c r="I118" s="129">
        <f>D118-G118</f>
        <v/>
      </c>
      <c r="J118" s="40">
        <f>ROUND(E118,2)-ROUND(H118,2)</f>
        <v/>
      </c>
      <c r="K118" s="116">
        <f>IF(J118=0,"",IF(J118&lt;0,"IMPORTANT:  Over budget - Needs review","Currently at or under budget"))</f>
        <v/>
      </c>
      <c r="L118" s="130" t="n"/>
      <c r="M118" s="40">
        <f>L118*$C118</f>
        <v/>
      </c>
      <c r="N118" s="130" t="n"/>
      <c r="O118" s="40">
        <f>N118*$C118</f>
        <v/>
      </c>
      <c r="P118" s="130" t="n"/>
      <c r="Q118" s="40">
        <f>P118*$C118</f>
        <v/>
      </c>
      <c r="R118" s="130" t="n"/>
      <c r="S118" s="40">
        <f>R118*$C118</f>
        <v/>
      </c>
      <c r="T118" s="130" t="n"/>
      <c r="U118" s="64">
        <f>T118*$C118</f>
        <v/>
      </c>
      <c r="V118" s="130" t="n"/>
      <c r="W118" s="38">
        <f>V118*$C118</f>
        <v/>
      </c>
      <c r="X118" s="130" t="n"/>
      <c r="Y118" s="38">
        <f>X118*$C118</f>
        <v/>
      </c>
      <c r="Z118" s="130" t="n"/>
      <c r="AA118" s="38">
        <f>Z118*$C118</f>
        <v/>
      </c>
      <c r="AB118" s="130" t="n"/>
      <c r="AC118" s="38">
        <f>AB118*$C118</f>
        <v/>
      </c>
      <c r="AD118" s="130" t="n"/>
      <c r="AE118" s="38">
        <f>AD118*$C118</f>
        <v/>
      </c>
      <c r="AF118" s="130" t="n"/>
      <c r="AG118" s="38">
        <f>AF118*$C118</f>
        <v/>
      </c>
      <c r="AH118" s="130" t="n"/>
      <c r="AI118" s="38">
        <f>AH118*$C118</f>
        <v/>
      </c>
      <c r="AJ118" s="130" t="n"/>
      <c r="AK118" s="38">
        <f>AJ118*$C118</f>
        <v/>
      </c>
      <c r="AL118" s="130" t="n"/>
      <c r="AM118" s="38">
        <f>AL118*$C118</f>
        <v/>
      </c>
      <c r="AN118" s="130" t="n"/>
      <c r="AO118" s="38">
        <f>AN118*$C118</f>
        <v/>
      </c>
      <c r="AP118" s="130" t="n"/>
      <c r="AQ118" s="38">
        <f>AP118*$C118</f>
        <v/>
      </c>
      <c r="AR118" s="130" t="n"/>
      <c r="AS118" s="38">
        <f>AR118*$C118</f>
        <v/>
      </c>
      <c r="AT118" s="130" t="n"/>
      <c r="AU118" s="38">
        <f>AT118*$C118</f>
        <v/>
      </c>
      <c r="AV118" s="130" t="n"/>
      <c r="AW118" s="38">
        <f>AV118*$C118</f>
        <v/>
      </c>
      <c r="AX118" s="130" t="n"/>
      <c r="AY118" s="38">
        <f>AX118*$C118</f>
        <v/>
      </c>
    </row>
    <row r="119">
      <c r="A119" s="56" t="inlineStr">
        <is>
          <t>SA09700RLL</t>
        </is>
      </c>
      <c r="B119" s="57" t="inlineStr">
        <is>
          <t>Distribution Services: Reminder letters to claimants (per letter)</t>
        </is>
      </c>
      <c r="C119" s="126" t="n">
        <v>0.593</v>
      </c>
      <c r="D119" s="127" t="n">
        <v>4068</v>
      </c>
      <c r="E119" s="38">
        <f>ROUND(C119*D119,2)</f>
        <v/>
      </c>
      <c r="F119" s="60" t="n"/>
      <c r="G119" s="128">
        <f t="array" ref="G119">SUMPRODUCT(L119:EZ119,--(MOD(COLUMN(L119:EZ119),2)=0))</f>
        <v/>
      </c>
      <c r="H119" s="38">
        <f t="array" ref="H119">SUMPRODUCT(L119:EZ119,MOD(COLUMN(L119:EZ119),2))</f>
        <v/>
      </c>
      <c r="I119" s="129">
        <f>D119-G119</f>
        <v/>
      </c>
      <c r="J119" s="40">
        <f>ROUND(E119,2)-ROUND(H119,2)</f>
        <v/>
      </c>
      <c r="K119" s="116">
        <f>IF(J119=0,"",IF(J119&lt;0,"IMPORTANT:  Over budget - Needs review","Currently at or under budget"))</f>
        <v/>
      </c>
      <c r="L119" s="130" t="n"/>
      <c r="M119" s="40">
        <f>L119*$C119</f>
        <v/>
      </c>
      <c r="N119" s="130" t="n"/>
      <c r="O119" s="40">
        <f>N119*$C119</f>
        <v/>
      </c>
      <c r="P119" s="130" t="n"/>
      <c r="Q119" s="40">
        <f>P119*$C119</f>
        <v/>
      </c>
      <c r="R119" s="130" t="n"/>
      <c r="S119" s="40">
        <f>R119*$C119</f>
        <v/>
      </c>
      <c r="T119" s="130" t="n"/>
      <c r="U119" s="64">
        <f>T119*$C119</f>
        <v/>
      </c>
      <c r="V119" s="130" t="n"/>
      <c r="W119" s="38">
        <f>V119*$C119</f>
        <v/>
      </c>
      <c r="X119" s="130" t="n"/>
      <c r="Y119" s="38">
        <f>X119*$C119</f>
        <v/>
      </c>
      <c r="Z119" s="130" t="n"/>
      <c r="AA119" s="38">
        <f>Z119*$C119</f>
        <v/>
      </c>
      <c r="AB119" s="130" t="n"/>
      <c r="AC119" s="38">
        <f>AB119*$C119</f>
        <v/>
      </c>
      <c r="AD119" s="130" t="n"/>
      <c r="AE119" s="38">
        <f>AD119*$C119</f>
        <v/>
      </c>
      <c r="AF119" s="130" t="n"/>
      <c r="AG119" s="38">
        <f>AF119*$C119</f>
        <v/>
      </c>
      <c r="AH119" s="130" t="n"/>
      <c r="AI119" s="38">
        <f>AH119*$C119</f>
        <v/>
      </c>
      <c r="AJ119" s="130" t="n"/>
      <c r="AK119" s="38">
        <f>AJ119*$C119</f>
        <v/>
      </c>
      <c r="AL119" s="130" t="n"/>
      <c r="AM119" s="38">
        <f>AL119*$C119</f>
        <v/>
      </c>
      <c r="AN119" s="130" t="n"/>
      <c r="AO119" s="38">
        <f>AN119*$C119</f>
        <v/>
      </c>
      <c r="AP119" s="130" t="n"/>
      <c r="AQ119" s="38">
        <f>AP119*$C119</f>
        <v/>
      </c>
      <c r="AR119" s="130" t="n"/>
      <c r="AS119" s="38">
        <f>AR119*$C119</f>
        <v/>
      </c>
      <c r="AT119" s="130" t="n"/>
      <c r="AU119" s="38">
        <f>AT119*$C119</f>
        <v/>
      </c>
      <c r="AV119" s="130" t="n"/>
      <c r="AW119" s="38">
        <f>AV119*$C119</f>
        <v/>
      </c>
      <c r="AX119" s="130" t="n"/>
      <c r="AY119" s="38">
        <f>AX119*$C119</f>
        <v/>
      </c>
    </row>
    <row r="120">
      <c r="A120" s="56" t="inlineStr">
        <is>
          <t>SA09800PMC</t>
        </is>
      </c>
      <c r="B120" s="57" t="inlineStr">
        <is>
          <t>Distribution Services: Print and mail reissues - checks (per check)</t>
        </is>
      </c>
      <c r="C120" s="126" t="n">
        <v>2.5</v>
      </c>
      <c r="D120" s="127" t="n">
        <v>1902</v>
      </c>
      <c r="E120" s="38">
        <f>ROUND(C120*D120,2)</f>
        <v/>
      </c>
      <c r="F120" s="60" t="n"/>
      <c r="G120" s="128">
        <f t="array" ref="G120">SUMPRODUCT(L120:EZ120,--(MOD(COLUMN(L120:EZ120),2)=0))</f>
        <v/>
      </c>
      <c r="H120" s="38">
        <f t="array" ref="H120">SUMPRODUCT(L120:EZ120,MOD(COLUMN(L120:EZ120),2))</f>
        <v/>
      </c>
      <c r="I120" s="129">
        <f>D120-G120</f>
        <v/>
      </c>
      <c r="J120" s="40">
        <f>ROUND(E120,2)-ROUND(H120,2)</f>
        <v/>
      </c>
      <c r="K120" s="116">
        <f>IF(J120=0,"",IF(J120&lt;0,"IMPORTANT:  Over budget - Needs review","Currently at or under budget"))</f>
        <v/>
      </c>
      <c r="L120" s="130" t="n"/>
      <c r="M120" s="40">
        <f>L120*$C120</f>
        <v/>
      </c>
      <c r="N120" s="130" t="n"/>
      <c r="O120" s="40">
        <f>N120*$C120</f>
        <v/>
      </c>
      <c r="P120" s="130" t="n"/>
      <c r="Q120" s="40">
        <f>P120*$C120</f>
        <v/>
      </c>
      <c r="R120" s="130" t="n"/>
      <c r="S120" s="40">
        <f>R120*$C120</f>
        <v/>
      </c>
      <c r="T120" s="130" t="n"/>
      <c r="U120" s="64">
        <f>T120*$C120</f>
        <v/>
      </c>
      <c r="V120" s="130" t="n"/>
      <c r="W120" s="38">
        <f>V120*$C120</f>
        <v/>
      </c>
      <c r="X120" s="130" t="n"/>
      <c r="Y120" s="38">
        <f>X120*$C120</f>
        <v/>
      </c>
      <c r="Z120" s="130" t="n"/>
      <c r="AA120" s="38">
        <f>Z120*$C120</f>
        <v/>
      </c>
      <c r="AB120" s="130" t="n"/>
      <c r="AC120" s="38">
        <f>AB120*$C120</f>
        <v/>
      </c>
      <c r="AD120" s="130" t="n"/>
      <c r="AE120" s="38">
        <f>AD120*$C120</f>
        <v/>
      </c>
      <c r="AF120" s="130" t="n"/>
      <c r="AG120" s="38">
        <f>AF120*$C120</f>
        <v/>
      </c>
      <c r="AH120" s="130" t="n"/>
      <c r="AI120" s="38">
        <f>AH120*$C120</f>
        <v/>
      </c>
      <c r="AJ120" s="130" t="n"/>
      <c r="AK120" s="38">
        <f>AJ120*$C120</f>
        <v/>
      </c>
      <c r="AL120" s="130" t="n"/>
      <c r="AM120" s="38">
        <f>AL120*$C120</f>
        <v/>
      </c>
      <c r="AN120" s="130" t="n"/>
      <c r="AO120" s="38">
        <f>AN120*$C120</f>
        <v/>
      </c>
      <c r="AP120" s="130" t="n"/>
      <c r="AQ120" s="38">
        <f>AP120*$C120</f>
        <v/>
      </c>
      <c r="AR120" s="130" t="n"/>
      <c r="AS120" s="38">
        <f>AR120*$C120</f>
        <v/>
      </c>
      <c r="AT120" s="130" t="n"/>
      <c r="AU120" s="38">
        <f>AT120*$C120</f>
        <v/>
      </c>
      <c r="AV120" s="130" t="n"/>
      <c r="AW120" s="38">
        <f>AV120*$C120</f>
        <v/>
      </c>
      <c r="AX120" s="130" t="n"/>
      <c r="AY120" s="38">
        <f>AX120*$C120</f>
        <v/>
      </c>
    </row>
    <row r="121">
      <c r="A121" s="56" t="inlineStr">
        <is>
          <t>SA09850HDR</t>
        </is>
      </c>
      <c r="B121" s="57" t="inlineStr">
        <is>
          <t>Distribution Services: Reissue request for Heir documentation (per record)</t>
        </is>
      </c>
      <c r="C121" s="126" t="n"/>
      <c r="D121" s="127" t="n"/>
      <c r="E121" s="38">
        <f>ROUND(C121*D121,2)</f>
        <v/>
      </c>
      <c r="F121" s="60" t="n"/>
      <c r="G121" s="128">
        <f t="array" ref="G121">SUMPRODUCT(L121:EZ121,--(MOD(COLUMN(L121:EZ121),2)=0))</f>
        <v/>
      </c>
      <c r="H121" s="38">
        <f t="array" ref="H121">SUMPRODUCT(L121:EZ121,MOD(COLUMN(L121:EZ121),2))</f>
        <v/>
      </c>
      <c r="I121" s="129">
        <f>D121-G121</f>
        <v/>
      </c>
      <c r="J121" s="40">
        <f>ROUND(E121,2)-ROUND(H121,2)</f>
        <v/>
      </c>
      <c r="K121" s="116">
        <f>IF(J121=0,"",IF(J121&lt;0,"IMPORTANT:  Over budget - Needs review","Currently at or under budget"))</f>
        <v/>
      </c>
      <c r="L121" s="130" t="n"/>
      <c r="M121" s="40">
        <f>L121*$C121</f>
        <v/>
      </c>
      <c r="N121" s="130" t="n"/>
      <c r="O121" s="40">
        <f>N121*$C121</f>
        <v/>
      </c>
      <c r="P121" s="130" t="n"/>
      <c r="Q121" s="40">
        <f>P121*$C121</f>
        <v/>
      </c>
      <c r="R121" s="130" t="n"/>
      <c r="S121" s="40">
        <f>R121*$C121</f>
        <v/>
      </c>
      <c r="T121" s="130" t="n"/>
      <c r="U121" s="64">
        <f>T121*$C121</f>
        <v/>
      </c>
      <c r="V121" s="130" t="n"/>
      <c r="W121" s="38">
        <f>V121*$C121</f>
        <v/>
      </c>
      <c r="X121" s="130" t="n"/>
      <c r="Y121" s="38">
        <f>X121*$C121</f>
        <v/>
      </c>
      <c r="Z121" s="130" t="n"/>
      <c r="AA121" s="38">
        <f>Z121*$C121</f>
        <v/>
      </c>
      <c r="AB121" s="130" t="n"/>
      <c r="AC121" s="38">
        <f>AB121*$C121</f>
        <v/>
      </c>
      <c r="AD121" s="130" t="n"/>
      <c r="AE121" s="38">
        <f>AD121*$C121</f>
        <v/>
      </c>
      <c r="AF121" s="130" t="n"/>
      <c r="AG121" s="38">
        <f>AF121*$C121</f>
        <v/>
      </c>
      <c r="AH121" s="130" t="n"/>
      <c r="AI121" s="38">
        <f>AH121*$C121</f>
        <v/>
      </c>
      <c r="AJ121" s="130" t="n"/>
      <c r="AK121" s="38">
        <f>AJ121*$C121</f>
        <v/>
      </c>
      <c r="AL121" s="130" t="n"/>
      <c r="AM121" s="38">
        <f>AL121*$C121</f>
        <v/>
      </c>
      <c r="AN121" s="130" t="n"/>
      <c r="AO121" s="38">
        <f>AN121*$C121</f>
        <v/>
      </c>
      <c r="AP121" s="130" t="n"/>
      <c r="AQ121" s="38">
        <f>AP121*$C121</f>
        <v/>
      </c>
      <c r="AR121" s="130" t="n"/>
      <c r="AS121" s="38">
        <f>AR121*$C121</f>
        <v/>
      </c>
      <c r="AT121" s="130" t="n"/>
      <c r="AU121" s="38">
        <f>AT121*$C121</f>
        <v/>
      </c>
      <c r="AV121" s="130" t="n"/>
      <c r="AW121" s="38">
        <f>AV121*$C121</f>
        <v/>
      </c>
      <c r="AX121" s="130" t="n"/>
      <c r="AY121" s="38">
        <f>AX121*$C121</f>
        <v/>
      </c>
    </row>
    <row r="122">
      <c r="A122" s="56" t="inlineStr">
        <is>
          <t>SA09900PMP</t>
        </is>
      </c>
      <c r="B122" s="57" t="inlineStr">
        <is>
          <t>Distribution Services: Print and reissue gift card payments (per payment)</t>
        </is>
      </c>
      <c r="C122" s="126" t="n"/>
      <c r="D122" s="127" t="n"/>
      <c r="E122" s="38">
        <f>ROUND(C122*D122,2)</f>
        <v/>
      </c>
      <c r="F122" s="60" t="n"/>
      <c r="G122" s="128">
        <f t="array" ref="G122">SUMPRODUCT(L122:EZ122,--(MOD(COLUMN(L122:EZ122),2)=0))</f>
        <v/>
      </c>
      <c r="H122" s="38">
        <f t="array" ref="H122">SUMPRODUCT(L122:EZ122,MOD(COLUMN(L122:EZ122),2))</f>
        <v/>
      </c>
      <c r="I122" s="129">
        <f>D122-G122</f>
        <v/>
      </c>
      <c r="J122" s="40">
        <f>ROUND(E122,2)-ROUND(H122,2)</f>
        <v/>
      </c>
      <c r="K122" s="116">
        <f>IF(J122=0,"",IF(J122&lt;0,"IMPORTANT:  Over budget - Needs review","Currently at or under budget"))</f>
        <v/>
      </c>
      <c r="L122" s="130" t="n"/>
      <c r="M122" s="40">
        <f>L122*$C122</f>
        <v/>
      </c>
      <c r="N122" s="130" t="n"/>
      <c r="O122" s="40">
        <f>N122*$C122</f>
        <v/>
      </c>
      <c r="P122" s="130" t="n"/>
      <c r="Q122" s="40">
        <f>P122*$C122</f>
        <v/>
      </c>
      <c r="R122" s="130" t="n"/>
      <c r="S122" s="40">
        <f>R122*$C122</f>
        <v/>
      </c>
      <c r="T122" s="130" t="n"/>
      <c r="U122" s="64">
        <f>T122*$C122</f>
        <v/>
      </c>
      <c r="V122" s="130" t="n"/>
      <c r="W122" s="38">
        <f>V122*$C122</f>
        <v/>
      </c>
      <c r="X122" s="130" t="n"/>
      <c r="Y122" s="38">
        <f>X122*$C122</f>
        <v/>
      </c>
      <c r="Z122" s="130" t="n"/>
      <c r="AA122" s="38">
        <f>Z122*$C122</f>
        <v/>
      </c>
      <c r="AB122" s="130" t="n"/>
      <c r="AC122" s="38">
        <f>AB122*$C122</f>
        <v/>
      </c>
      <c r="AD122" s="130" t="n"/>
      <c r="AE122" s="38">
        <f>AD122*$C122</f>
        <v/>
      </c>
      <c r="AF122" s="130" t="n"/>
      <c r="AG122" s="38">
        <f>AF122*$C122</f>
        <v/>
      </c>
      <c r="AH122" s="130" t="n"/>
      <c r="AI122" s="38">
        <f>AH122*$C122</f>
        <v/>
      </c>
      <c r="AJ122" s="130" t="n"/>
      <c r="AK122" s="38">
        <f>AJ122*$C122</f>
        <v/>
      </c>
      <c r="AL122" s="130" t="n"/>
      <c r="AM122" s="38">
        <f>AL122*$C122</f>
        <v/>
      </c>
      <c r="AN122" s="130" t="n"/>
      <c r="AO122" s="38">
        <f>AN122*$C122</f>
        <v/>
      </c>
      <c r="AP122" s="130" t="n"/>
      <c r="AQ122" s="38">
        <f>AP122*$C122</f>
        <v/>
      </c>
      <c r="AR122" s="130" t="n"/>
      <c r="AS122" s="38">
        <f>AR122*$C122</f>
        <v/>
      </c>
      <c r="AT122" s="130" t="n"/>
      <c r="AU122" s="38">
        <f>AT122*$C122</f>
        <v/>
      </c>
      <c r="AV122" s="130" t="n"/>
      <c r="AW122" s="38">
        <f>AV122*$C122</f>
        <v/>
      </c>
      <c r="AX122" s="130" t="n"/>
      <c r="AY122" s="38">
        <f>AX122*$C122</f>
        <v/>
      </c>
    </row>
    <row r="123">
      <c r="A123" s="56" t="inlineStr">
        <is>
          <t>SA10200PQY</t>
        </is>
      </c>
      <c r="B123" s="57" t="inlineStr">
        <is>
          <t>Tax Reporting: Preparation of Settlement Fund tax return (per year)</t>
        </is>
      </c>
      <c r="C123" s="126" t="n">
        <v>2000</v>
      </c>
      <c r="D123" s="127" t="n"/>
      <c r="E123" s="38">
        <f>ROUND(C123*D123,2)</f>
        <v/>
      </c>
      <c r="F123" s="60" t="n"/>
      <c r="G123" s="128">
        <f t="array" ref="G123">SUMPRODUCT(L123:EZ123,--(MOD(COLUMN(L123:EZ123),2)=0))</f>
        <v/>
      </c>
      <c r="H123" s="38">
        <f t="array" ref="H123">SUMPRODUCT(L123:EZ123,MOD(COLUMN(L123:EZ123),2))</f>
        <v/>
      </c>
      <c r="I123" s="129">
        <f>D123-G123</f>
        <v/>
      </c>
      <c r="J123" s="40">
        <f>ROUND(E123,2)-ROUND(H123,2)</f>
        <v/>
      </c>
      <c r="K123" s="116">
        <f>IF(J123=0,"",IF(J123&lt;0,"IMPORTANT:  Over budget - Needs review","Currently at or under budget"))</f>
        <v/>
      </c>
      <c r="L123" s="130" t="n"/>
      <c r="M123" s="40">
        <f>L123*$C123</f>
        <v/>
      </c>
      <c r="N123" s="130" t="n"/>
      <c r="O123" s="40">
        <f>N123*$C123</f>
        <v/>
      </c>
      <c r="P123" s="130" t="n"/>
      <c r="Q123" s="40">
        <f>P123*$C123</f>
        <v/>
      </c>
      <c r="R123" s="130" t="n"/>
      <c r="S123" s="40">
        <f>R123*$C123</f>
        <v/>
      </c>
      <c r="T123" s="130" t="n"/>
      <c r="U123" s="64">
        <f>T123*$C123</f>
        <v/>
      </c>
      <c r="V123" s="130" t="n"/>
      <c r="W123" s="38">
        <f>V123*$C123</f>
        <v/>
      </c>
      <c r="X123" s="130" t="n"/>
      <c r="Y123" s="38">
        <f>X123*$C123</f>
        <v/>
      </c>
      <c r="Z123" s="130" t="n"/>
      <c r="AA123" s="38">
        <f>Z123*$C123</f>
        <v/>
      </c>
      <c r="AB123" s="130" t="n"/>
      <c r="AC123" s="38">
        <f>AB123*$C123</f>
        <v/>
      </c>
      <c r="AD123" s="130" t="n"/>
      <c r="AE123" s="38">
        <f>AD123*$C123</f>
        <v/>
      </c>
      <c r="AF123" s="130" t="n"/>
      <c r="AG123" s="38">
        <f>AF123*$C123</f>
        <v/>
      </c>
      <c r="AH123" s="130" t="n"/>
      <c r="AI123" s="38">
        <f>AH123*$C123</f>
        <v/>
      </c>
      <c r="AJ123" s="130" t="n"/>
      <c r="AK123" s="38">
        <f>AJ123*$C123</f>
        <v/>
      </c>
      <c r="AL123" s="130" t="n"/>
      <c r="AM123" s="38">
        <f>AL123*$C123</f>
        <v/>
      </c>
      <c r="AN123" s="130" t="n"/>
      <c r="AO123" s="38">
        <f>AN123*$C123</f>
        <v/>
      </c>
      <c r="AP123" s="130" t="n"/>
      <c r="AQ123" s="38">
        <f>AP123*$C123</f>
        <v/>
      </c>
      <c r="AR123" s="130" t="n"/>
      <c r="AS123" s="38">
        <f>AR123*$C123</f>
        <v/>
      </c>
      <c r="AT123" s="130" t="n"/>
      <c r="AU123" s="38">
        <f>AT123*$C123</f>
        <v/>
      </c>
      <c r="AV123" s="130" t="n"/>
      <c r="AW123" s="38">
        <f>AV123*$C123</f>
        <v/>
      </c>
      <c r="AX123" s="130" t="n"/>
      <c r="AY123" s="38">
        <f>AX123*$C123</f>
        <v/>
      </c>
    </row>
    <row r="124">
      <c r="A124" s="56" t="inlineStr">
        <is>
          <t>SA10400IIF</t>
        </is>
      </c>
      <c r="B124" s="57" t="inlineStr">
        <is>
          <t>Tax Reporting: Individual income tax reporting (per form)</t>
        </is>
      </c>
      <c r="C124" s="126" t="n"/>
      <c r="D124" s="127" t="n"/>
      <c r="E124" s="38">
        <f>ROUND(C124*D124,2)</f>
        <v/>
      </c>
      <c r="F124" s="60" t="n"/>
      <c r="G124" s="128">
        <f t="array" ref="G124">SUMPRODUCT(L124:EZ124,--(MOD(COLUMN(L124:EZ124),2)=0))</f>
        <v/>
      </c>
      <c r="H124" s="38">
        <f t="array" ref="H124">SUMPRODUCT(L124:EZ124,MOD(COLUMN(L124:EZ124),2))</f>
        <v/>
      </c>
      <c r="I124" s="129">
        <f>D124-G124</f>
        <v/>
      </c>
      <c r="J124" s="40">
        <f>ROUND(E124,2)-ROUND(H124,2)</f>
        <v/>
      </c>
      <c r="K124" s="116">
        <f>IF(J124=0,"",IF(J124&lt;0,"IMPORTANT:  Over budget - Needs review","Currently at or under budget"))</f>
        <v/>
      </c>
      <c r="L124" s="130" t="n"/>
      <c r="M124" s="40">
        <f>L124*$C124</f>
        <v/>
      </c>
      <c r="N124" s="130" t="n"/>
      <c r="O124" s="40">
        <f>N124*$C124</f>
        <v/>
      </c>
      <c r="P124" s="130" t="n"/>
      <c r="Q124" s="40">
        <f>P124*$C124</f>
        <v/>
      </c>
      <c r="R124" s="130" t="n"/>
      <c r="S124" s="40">
        <f>R124*$C124</f>
        <v/>
      </c>
      <c r="T124" s="130" t="n"/>
      <c r="U124" s="64">
        <f>T124*$C124</f>
        <v/>
      </c>
      <c r="V124" s="130" t="n"/>
      <c r="W124" s="38">
        <f>V124*$C124</f>
        <v/>
      </c>
      <c r="X124" s="130" t="n"/>
      <c r="Y124" s="38">
        <f>X124*$C124</f>
        <v/>
      </c>
      <c r="Z124" s="130" t="n"/>
      <c r="AA124" s="38">
        <f>Z124*$C124</f>
        <v/>
      </c>
      <c r="AB124" s="130" t="n"/>
      <c r="AC124" s="38">
        <f>AB124*$C124</f>
        <v/>
      </c>
      <c r="AD124" s="130" t="n"/>
      <c r="AE124" s="38">
        <f>AD124*$C124</f>
        <v/>
      </c>
      <c r="AF124" s="130" t="n"/>
      <c r="AG124" s="38">
        <f>AF124*$C124</f>
        <v/>
      </c>
      <c r="AH124" s="130" t="n"/>
      <c r="AI124" s="38">
        <f>AH124*$C124</f>
        <v/>
      </c>
      <c r="AJ124" s="130" t="n"/>
      <c r="AK124" s="38">
        <f>AJ124*$C124</f>
        <v/>
      </c>
      <c r="AL124" s="130" t="n"/>
      <c r="AM124" s="38">
        <f>AL124*$C124</f>
        <v/>
      </c>
      <c r="AN124" s="130" t="n"/>
      <c r="AO124" s="38">
        <f>AN124*$C124</f>
        <v/>
      </c>
      <c r="AP124" s="130" t="n"/>
      <c r="AQ124" s="38">
        <f>AP124*$C124</f>
        <v/>
      </c>
      <c r="AR124" s="130" t="n"/>
      <c r="AS124" s="38">
        <f>AR124*$C124</f>
        <v/>
      </c>
      <c r="AT124" s="130" t="n"/>
      <c r="AU124" s="38">
        <f>AT124*$C124</f>
        <v/>
      </c>
      <c r="AV124" s="130" t="n"/>
      <c r="AW124" s="38">
        <f>AV124*$C124</f>
        <v/>
      </c>
      <c r="AX124" s="130" t="n"/>
      <c r="AY124" s="38">
        <f>AX124*$C124</f>
        <v/>
      </c>
    </row>
    <row r="125">
      <c r="A125" s="56" t="inlineStr">
        <is>
          <t>SA10600CTO</t>
        </is>
      </c>
      <c r="B125" s="57" t="inlineStr">
        <is>
          <t>Tax Reporting: CA tax reporting services (CA from CAS)</t>
        </is>
      </c>
      <c r="C125" s="126" t="n"/>
      <c r="D125" s="127" t="n"/>
      <c r="E125" s="38">
        <f>ROUND(C125*D125,2)</f>
        <v/>
      </c>
      <c r="F125" s="60" t="n"/>
      <c r="G125" s="128">
        <f t="array" ref="G125">SUMPRODUCT(L125:EZ125,--(MOD(COLUMN(L125:EZ125),2)=0))</f>
        <v/>
      </c>
      <c r="H125" s="38">
        <f t="array" ref="H125">SUMPRODUCT(L125:EZ125,MOD(COLUMN(L125:EZ125),2))</f>
        <v/>
      </c>
      <c r="I125" s="129">
        <f>D125-G125</f>
        <v/>
      </c>
      <c r="J125" s="40">
        <f>ROUND(E125,2)-ROUND(H125,2)</f>
        <v/>
      </c>
      <c r="K125" s="116">
        <f>IF(J125=0,"",IF(J125&lt;0,"IMPORTANT:  Over budget - Needs review","Currently at or under budget"))</f>
        <v/>
      </c>
      <c r="L125" s="130" t="n"/>
      <c r="M125" s="40">
        <f>L125*$C125</f>
        <v/>
      </c>
      <c r="N125" s="130" t="n"/>
      <c r="O125" s="40">
        <f>N125*$C125</f>
        <v/>
      </c>
      <c r="P125" s="130" t="n"/>
      <c r="Q125" s="40">
        <f>P125*$C125</f>
        <v/>
      </c>
      <c r="R125" s="130" t="n"/>
      <c r="S125" s="40">
        <f>R125*$C125</f>
        <v/>
      </c>
      <c r="T125" s="130" t="n"/>
      <c r="U125" s="64">
        <f>T125*$C125</f>
        <v/>
      </c>
      <c r="V125" s="130" t="n"/>
      <c r="W125" s="38">
        <f>V125*$C125</f>
        <v/>
      </c>
      <c r="X125" s="130" t="n"/>
      <c r="Y125" s="38">
        <f>X125*$C125</f>
        <v/>
      </c>
      <c r="Z125" s="130" t="n"/>
      <c r="AA125" s="38">
        <f>Z125*$C125</f>
        <v/>
      </c>
      <c r="AB125" s="130" t="n"/>
      <c r="AC125" s="38">
        <f>AB125*$C125</f>
        <v/>
      </c>
      <c r="AD125" s="130" t="n"/>
      <c r="AE125" s="38">
        <f>AD125*$C125</f>
        <v/>
      </c>
      <c r="AF125" s="130" t="n"/>
      <c r="AG125" s="38">
        <f>AF125*$C125</f>
        <v/>
      </c>
      <c r="AH125" s="130" t="n"/>
      <c r="AI125" s="38">
        <f>AH125*$C125</f>
        <v/>
      </c>
      <c r="AJ125" s="130" t="n"/>
      <c r="AK125" s="38">
        <f>AJ125*$C125</f>
        <v/>
      </c>
      <c r="AL125" s="130" t="n"/>
      <c r="AM125" s="38">
        <f>AL125*$C125</f>
        <v/>
      </c>
      <c r="AN125" s="130" t="n"/>
      <c r="AO125" s="38">
        <f>AN125*$C125</f>
        <v/>
      </c>
      <c r="AP125" s="130" t="n"/>
      <c r="AQ125" s="38">
        <f>AP125*$C125</f>
        <v/>
      </c>
      <c r="AR125" s="130" t="n"/>
      <c r="AS125" s="38">
        <f>AR125*$C125</f>
        <v/>
      </c>
      <c r="AT125" s="130" t="n"/>
      <c r="AU125" s="38">
        <f>AT125*$C125</f>
        <v/>
      </c>
      <c r="AV125" s="130" t="n"/>
      <c r="AW125" s="38">
        <f>AV125*$C125</f>
        <v/>
      </c>
      <c r="AX125" s="130" t="n"/>
      <c r="AY125" s="38">
        <f>AX125*$C125</f>
        <v/>
      </c>
    </row>
    <row r="126">
      <c r="A126" s="56" t="inlineStr">
        <is>
          <t>SA10800INS</t>
        </is>
      </c>
      <c r="B126" s="57" t="inlineStr">
        <is>
          <t>Tax Reporting: Identify the number of states (per state)</t>
        </is>
      </c>
      <c r="C126" s="126" t="n"/>
      <c r="D126" s="127" t="n"/>
      <c r="E126" s="38">
        <f>ROUND(C126*D126,2)</f>
        <v/>
      </c>
      <c r="F126" s="60" t="n"/>
      <c r="G126" s="128">
        <f t="array" ref="G126">SUMPRODUCT(L126:EZ126,--(MOD(COLUMN(L126:EZ126),2)=0))</f>
        <v/>
      </c>
      <c r="H126" s="38">
        <f t="array" ref="H126">SUMPRODUCT(L126:EZ126,MOD(COLUMN(L126:EZ126),2))</f>
        <v/>
      </c>
      <c r="I126" s="129">
        <f>D126-G126</f>
        <v/>
      </c>
      <c r="J126" s="40">
        <f>ROUND(E126,2)-ROUND(H126,2)</f>
        <v/>
      </c>
      <c r="K126" s="116">
        <f>IF(J126=0,"",IF(J126&lt;0,"IMPORTANT:  Over budget - Needs review","Currently at or under budget"))</f>
        <v/>
      </c>
      <c r="L126" s="130" t="n"/>
      <c r="M126" s="40">
        <f>L126*$C126</f>
        <v/>
      </c>
      <c r="N126" s="130" t="n"/>
      <c r="O126" s="40">
        <f>N126*$C126</f>
        <v/>
      </c>
      <c r="P126" s="130" t="n"/>
      <c r="Q126" s="40">
        <f>P126*$C126</f>
        <v/>
      </c>
      <c r="R126" s="130" t="n"/>
      <c r="S126" s="40">
        <f>R126*$C126</f>
        <v/>
      </c>
      <c r="T126" s="130" t="n"/>
      <c r="U126" s="64">
        <f>T126*$C126</f>
        <v/>
      </c>
      <c r="V126" s="130" t="n"/>
      <c r="W126" s="38">
        <f>V126*$C126</f>
        <v/>
      </c>
      <c r="X126" s="130" t="n"/>
      <c r="Y126" s="38">
        <f>X126*$C126</f>
        <v/>
      </c>
      <c r="Z126" s="130" t="n"/>
      <c r="AA126" s="38">
        <f>Z126*$C126</f>
        <v/>
      </c>
      <c r="AB126" s="130" t="n"/>
      <c r="AC126" s="38">
        <f>AB126*$C126</f>
        <v/>
      </c>
      <c r="AD126" s="130" t="n"/>
      <c r="AE126" s="38">
        <f>AD126*$C126</f>
        <v/>
      </c>
      <c r="AF126" s="130" t="n"/>
      <c r="AG126" s="38">
        <f>AF126*$C126</f>
        <v/>
      </c>
      <c r="AH126" s="130" t="n"/>
      <c r="AI126" s="38">
        <f>AH126*$C126</f>
        <v/>
      </c>
      <c r="AJ126" s="130" t="n"/>
      <c r="AK126" s="38">
        <f>AJ126*$C126</f>
        <v/>
      </c>
      <c r="AL126" s="130" t="n"/>
      <c r="AM126" s="38">
        <f>AL126*$C126</f>
        <v/>
      </c>
      <c r="AN126" s="130" t="n"/>
      <c r="AO126" s="38">
        <f>AN126*$C126</f>
        <v/>
      </c>
      <c r="AP126" s="130" t="n"/>
      <c r="AQ126" s="38">
        <f>AP126*$C126</f>
        <v/>
      </c>
      <c r="AR126" s="130" t="n"/>
      <c r="AS126" s="38">
        <f>AR126*$C126</f>
        <v/>
      </c>
      <c r="AT126" s="130" t="n"/>
      <c r="AU126" s="38">
        <f>AT126*$C126</f>
        <v/>
      </c>
      <c r="AV126" s="130" t="n"/>
      <c r="AW126" s="38">
        <f>AV126*$C126</f>
        <v/>
      </c>
      <c r="AX126" s="130" t="n"/>
      <c r="AY126" s="38">
        <f>AX126*$C126</f>
        <v/>
      </c>
    </row>
    <row r="127">
      <c r="A127" s="56" t="inlineStr">
        <is>
          <t>SA12200SSO</t>
        </is>
      </c>
      <c r="B127" s="57" t="inlineStr">
        <is>
          <t>Mail Handling Scanning &amp; Data/Image Storing: Scanning set-up (one time fee)</t>
        </is>
      </c>
      <c r="C127" s="126" t="n"/>
      <c r="D127" s="127" t="n"/>
      <c r="E127" s="38">
        <f>ROUND(C127*D127,2)</f>
        <v/>
      </c>
      <c r="F127" s="60" t="n"/>
      <c r="G127" s="128">
        <f t="array" ref="G127">SUMPRODUCT(L127:EZ127,--(MOD(COLUMN(L127:EZ127),2)=0))</f>
        <v/>
      </c>
      <c r="H127" s="38">
        <f t="array" ref="H127">SUMPRODUCT(L127:EZ127,MOD(COLUMN(L127:EZ127),2))</f>
        <v/>
      </c>
      <c r="I127" s="129">
        <f>D127-G127</f>
        <v/>
      </c>
      <c r="J127" s="40">
        <f>ROUND(E127,2)-ROUND(H127,2)</f>
        <v/>
      </c>
      <c r="K127" s="116">
        <f>IF(J127=0,"",IF(J127&lt;0,"IMPORTANT:  Over budget - Needs review","Currently at or under budget"))</f>
        <v/>
      </c>
      <c r="L127" s="130" t="n"/>
      <c r="M127" s="40">
        <f>L127*$C127</f>
        <v/>
      </c>
      <c r="N127" s="130" t="n"/>
      <c r="O127" s="40">
        <f>N127*$C127</f>
        <v/>
      </c>
      <c r="P127" s="130" t="n"/>
      <c r="Q127" s="40">
        <f>P127*$C127</f>
        <v/>
      </c>
      <c r="R127" s="130" t="n"/>
      <c r="S127" s="40">
        <f>R127*$C127</f>
        <v/>
      </c>
      <c r="T127" s="130" t="n"/>
      <c r="U127" s="64">
        <f>T127*$C127</f>
        <v/>
      </c>
      <c r="V127" s="130" t="n"/>
      <c r="W127" s="38">
        <f>V127*$C127</f>
        <v/>
      </c>
      <c r="X127" s="130" t="n"/>
      <c r="Y127" s="38">
        <f>X127*$C127</f>
        <v/>
      </c>
      <c r="Z127" s="130" t="n"/>
      <c r="AA127" s="38">
        <f>Z127*$C127</f>
        <v/>
      </c>
      <c r="AB127" s="130" t="n"/>
      <c r="AC127" s="38">
        <f>AB127*$C127</f>
        <v/>
      </c>
      <c r="AD127" s="130" t="n"/>
      <c r="AE127" s="38">
        <f>AD127*$C127</f>
        <v/>
      </c>
      <c r="AF127" s="130" t="n"/>
      <c r="AG127" s="38">
        <f>AF127*$C127</f>
        <v/>
      </c>
      <c r="AH127" s="130" t="n"/>
      <c r="AI127" s="38">
        <f>AH127*$C127</f>
        <v/>
      </c>
      <c r="AJ127" s="130" t="n"/>
      <c r="AK127" s="38">
        <f>AJ127*$C127</f>
        <v/>
      </c>
      <c r="AL127" s="130" t="n"/>
      <c r="AM127" s="38">
        <f>AL127*$C127</f>
        <v/>
      </c>
      <c r="AN127" s="130" t="n"/>
      <c r="AO127" s="38">
        <f>AN127*$C127</f>
        <v/>
      </c>
      <c r="AP127" s="130" t="n"/>
      <c r="AQ127" s="38">
        <f>AP127*$C127</f>
        <v/>
      </c>
      <c r="AR127" s="130" t="n"/>
      <c r="AS127" s="38">
        <f>AR127*$C127</f>
        <v/>
      </c>
      <c r="AT127" s="130" t="n"/>
      <c r="AU127" s="38">
        <f>AT127*$C127</f>
        <v/>
      </c>
      <c r="AV127" s="130" t="n"/>
      <c r="AW127" s="38">
        <f>AV127*$C127</f>
        <v/>
      </c>
      <c r="AX127" s="130" t="n"/>
      <c r="AY127" s="38">
        <f>AX127*$C127</f>
        <v/>
      </c>
    </row>
    <row r="128">
      <c r="A128" s="56" t="inlineStr">
        <is>
          <t>SA12400SIS</t>
        </is>
      </c>
      <c r="B128" s="57" t="inlineStr">
        <is>
          <t>Mail Handling Scanning &amp; Data/Image Storing: Scanning/images of documents (per scan)</t>
        </is>
      </c>
      <c r="C128" s="126" t="n">
        <v>0.1</v>
      </c>
      <c r="D128" s="127" t="n">
        <v>11570</v>
      </c>
      <c r="E128" s="38">
        <f>ROUND(C128*D128,2)</f>
        <v/>
      </c>
      <c r="F128" s="60" t="n"/>
      <c r="G128" s="128">
        <f t="array" ref="G128">SUMPRODUCT(L128:EZ128,--(MOD(COLUMN(L128:EZ128),2)=0))</f>
        <v/>
      </c>
      <c r="H128" s="38">
        <f t="array" ref="H128">SUMPRODUCT(L128:EZ128,MOD(COLUMN(L128:EZ128),2))</f>
        <v/>
      </c>
      <c r="I128" s="129">
        <f>D128-G128</f>
        <v/>
      </c>
      <c r="J128" s="40">
        <f>ROUND(E128,2)-ROUND(H128,2)</f>
        <v/>
      </c>
      <c r="K128" s="116">
        <f>IF(J128=0,"",IF(J128&lt;0,"IMPORTANT:  Over budget - Needs review","Currently at or under budget"))</f>
        <v/>
      </c>
      <c r="L128" s="130" t="n"/>
      <c r="M128" s="40">
        <f>L128*$C128</f>
        <v/>
      </c>
      <c r="N128" s="130" t="n"/>
      <c r="O128" s="40">
        <f>N128*$C128</f>
        <v/>
      </c>
      <c r="P128" s="130" t="n"/>
      <c r="Q128" s="40">
        <f>P128*$C128</f>
        <v/>
      </c>
      <c r="R128" s="130" t="n"/>
      <c r="S128" s="40">
        <f>R128*$C128</f>
        <v/>
      </c>
      <c r="T128" s="130" t="n"/>
      <c r="U128" s="64">
        <f>T128*$C128</f>
        <v/>
      </c>
      <c r="V128" s="130" t="n"/>
      <c r="W128" s="38">
        <f>V128*$C128</f>
        <v/>
      </c>
      <c r="X128" s="130" t="n"/>
      <c r="Y128" s="38">
        <f>X128*$C128</f>
        <v/>
      </c>
      <c r="Z128" s="130" t="n"/>
      <c r="AA128" s="38">
        <f>Z128*$C128</f>
        <v/>
      </c>
      <c r="AB128" s="130" t="n"/>
      <c r="AC128" s="38">
        <f>AB128*$C128</f>
        <v/>
      </c>
      <c r="AD128" s="130" t="n"/>
      <c r="AE128" s="38">
        <f>AD128*$C128</f>
        <v/>
      </c>
      <c r="AF128" s="130" t="n"/>
      <c r="AG128" s="38">
        <f>AF128*$C128</f>
        <v/>
      </c>
      <c r="AH128" s="130" t="n"/>
      <c r="AI128" s="38">
        <f>AH128*$C128</f>
        <v/>
      </c>
      <c r="AJ128" s="130" t="n"/>
      <c r="AK128" s="38">
        <f>AJ128*$C128</f>
        <v/>
      </c>
      <c r="AL128" s="130" t="n"/>
      <c r="AM128" s="38">
        <f>AL128*$C128</f>
        <v/>
      </c>
      <c r="AN128" s="130" t="n"/>
      <c r="AO128" s="38">
        <f>AN128*$C128</f>
        <v/>
      </c>
      <c r="AP128" s="130" t="n"/>
      <c r="AQ128" s="38">
        <f>AP128*$C128</f>
        <v/>
      </c>
      <c r="AR128" s="130" t="n"/>
      <c r="AS128" s="38">
        <f>AR128*$C128</f>
        <v/>
      </c>
      <c r="AT128" s="130" t="n"/>
      <c r="AU128" s="38">
        <f>AT128*$C128</f>
        <v/>
      </c>
      <c r="AV128" s="130" t="n"/>
      <c r="AW128" s="38">
        <f>AV128*$C128</f>
        <v/>
      </c>
      <c r="AX128" s="130" t="n"/>
      <c r="AY128" s="38">
        <f>AX128*$C128</f>
        <v/>
      </c>
    </row>
    <row r="129">
      <c r="A129" s="56" t="inlineStr">
        <is>
          <t>SA12600MHP</t>
        </is>
      </c>
      <c r="B129" s="57" t="inlineStr">
        <is>
          <t>Mail Handling Scanning &amp; Data/Image Storing: Mail handling charges (per piece)</t>
        </is>
      </c>
      <c r="C129" s="126" t="n">
        <v>200</v>
      </c>
      <c r="D129" s="127" t="n">
        <v>1</v>
      </c>
      <c r="E129" s="38">
        <f>ROUND(C129*D129,2)</f>
        <v/>
      </c>
      <c r="F129" s="60" t="n"/>
      <c r="G129" s="128">
        <f t="array" ref="G129">SUMPRODUCT(L129:EZ129,--(MOD(COLUMN(L129:EZ129),2)=0))</f>
        <v/>
      </c>
      <c r="H129" s="38">
        <f t="array" ref="H129">SUMPRODUCT(L129:EZ129,MOD(COLUMN(L129:EZ129),2))</f>
        <v/>
      </c>
      <c r="I129" s="129">
        <f>D129-G129</f>
        <v/>
      </c>
      <c r="J129" s="40">
        <f>ROUND(E129,2)-ROUND(H129,2)</f>
        <v/>
      </c>
      <c r="K129" s="116">
        <f>IF(J129=0,"",IF(J129&lt;0,"IMPORTANT:  Over budget - Needs review","Currently at or under budget"))</f>
        <v/>
      </c>
      <c r="L129" s="130" t="n"/>
      <c r="M129" s="40">
        <f>L129*$C129</f>
        <v/>
      </c>
      <c r="N129" s="130" t="n"/>
      <c r="O129" s="40">
        <f>N129*$C129</f>
        <v/>
      </c>
      <c r="P129" s="130" t="n"/>
      <c r="Q129" s="40">
        <f>P129*$C129</f>
        <v/>
      </c>
      <c r="R129" s="130" t="n"/>
      <c r="S129" s="40">
        <f>R129*$C129</f>
        <v/>
      </c>
      <c r="T129" s="130" t="n"/>
      <c r="U129" s="64">
        <f>T129*$C129</f>
        <v/>
      </c>
      <c r="V129" s="130" t="n"/>
      <c r="W129" s="38">
        <f>V129*$C129</f>
        <v/>
      </c>
      <c r="X129" s="130" t="n"/>
      <c r="Y129" s="38">
        <f>X129*$C129</f>
        <v/>
      </c>
      <c r="Z129" s="130" t="n"/>
      <c r="AA129" s="38">
        <f>Z129*$C129</f>
        <v/>
      </c>
      <c r="AB129" s="130" t="n"/>
      <c r="AC129" s="38">
        <f>AB129*$C129</f>
        <v/>
      </c>
      <c r="AD129" s="130" t="n"/>
      <c r="AE129" s="38">
        <f>AD129*$C129</f>
        <v/>
      </c>
      <c r="AF129" s="130" t="n"/>
      <c r="AG129" s="38">
        <f>AF129*$C129</f>
        <v/>
      </c>
      <c r="AH129" s="130" t="n"/>
      <c r="AI129" s="38">
        <f>AH129*$C129</f>
        <v/>
      </c>
      <c r="AJ129" s="130" t="n"/>
      <c r="AK129" s="38">
        <f>AJ129*$C129</f>
        <v/>
      </c>
      <c r="AL129" s="130" t="n"/>
      <c r="AM129" s="38">
        <f>AL129*$C129</f>
        <v/>
      </c>
      <c r="AN129" s="130" t="n"/>
      <c r="AO129" s="38">
        <f>AN129*$C129</f>
        <v/>
      </c>
      <c r="AP129" s="130" t="n"/>
      <c r="AQ129" s="38">
        <f>AP129*$C129</f>
        <v/>
      </c>
      <c r="AR129" s="130" t="n"/>
      <c r="AS129" s="38">
        <f>AR129*$C129</f>
        <v/>
      </c>
      <c r="AT129" s="130" t="n"/>
      <c r="AU129" s="38">
        <f>AT129*$C129</f>
        <v/>
      </c>
      <c r="AV129" s="130" t="n"/>
      <c r="AW129" s="38">
        <f>AV129*$C129</f>
        <v/>
      </c>
      <c r="AX129" s="130" t="n"/>
      <c r="AY129" s="38">
        <f>AX129*$C129</f>
        <v/>
      </c>
    </row>
    <row r="130">
      <c r="A130" s="56" t="inlineStr">
        <is>
          <t>SA12800DIM</t>
        </is>
      </c>
      <c r="B130" s="57" t="inlineStr">
        <is>
          <t>Mail Handling Scanning &amp; Data/Image Storing: Data/image storage (per month)</t>
        </is>
      </c>
      <c r="C130" s="126" t="n">
        <v>100</v>
      </c>
      <c r="D130" s="127" t="n">
        <v>9</v>
      </c>
      <c r="E130" s="38">
        <f>ROUND(C130*D130,2)</f>
        <v/>
      </c>
      <c r="F130" s="60" t="n"/>
      <c r="G130" s="128">
        <f t="array" ref="G130">SUMPRODUCT(L130:EZ130,--(MOD(COLUMN(L130:EZ130),2)=0))</f>
        <v/>
      </c>
      <c r="H130" s="38">
        <f t="array" ref="H130">SUMPRODUCT(L130:EZ130,MOD(COLUMN(L130:EZ130),2))</f>
        <v/>
      </c>
      <c r="I130" s="129">
        <f>D130-G130</f>
        <v/>
      </c>
      <c r="J130" s="40">
        <f>ROUND(E130,2)-ROUND(H130,2)</f>
        <v/>
      </c>
      <c r="K130" s="116">
        <f>IF(J130=0,"",IF(J130&lt;0,"IMPORTANT:  Over budget - Needs review","Currently at or under budget"))</f>
        <v/>
      </c>
      <c r="L130" s="130" t="n"/>
      <c r="M130" s="40">
        <f>L130*$C130</f>
        <v/>
      </c>
      <c r="N130" s="130" t="n"/>
      <c r="O130" s="40">
        <f>N130*$C130</f>
        <v/>
      </c>
      <c r="P130" s="130" t="n"/>
      <c r="Q130" s="40">
        <f>P130*$C130</f>
        <v/>
      </c>
      <c r="R130" s="130" t="n"/>
      <c r="S130" s="40">
        <f>R130*$C130</f>
        <v/>
      </c>
      <c r="T130" s="130" t="n"/>
      <c r="U130" s="64">
        <f>T130*$C130</f>
        <v/>
      </c>
      <c r="V130" s="130" t="n"/>
      <c r="W130" s="38">
        <f>V130*$C130</f>
        <v/>
      </c>
      <c r="X130" s="130" t="n"/>
      <c r="Y130" s="38">
        <f>X130*$C130</f>
        <v/>
      </c>
      <c r="Z130" s="130" t="n"/>
      <c r="AA130" s="38">
        <f>Z130*$C130</f>
        <v/>
      </c>
      <c r="AB130" s="130" t="n"/>
      <c r="AC130" s="38">
        <f>AB130*$C130</f>
        <v/>
      </c>
      <c r="AD130" s="130" t="n"/>
      <c r="AE130" s="38">
        <f>AD130*$C130</f>
        <v/>
      </c>
      <c r="AF130" s="130" t="n"/>
      <c r="AG130" s="38">
        <f>AF130*$C130</f>
        <v/>
      </c>
      <c r="AH130" s="130" t="n"/>
      <c r="AI130" s="38">
        <f>AH130*$C130</f>
        <v/>
      </c>
      <c r="AJ130" s="130" t="n"/>
      <c r="AK130" s="38">
        <f>AJ130*$C130</f>
        <v/>
      </c>
      <c r="AL130" s="130" t="n"/>
      <c r="AM130" s="38">
        <f>AL130*$C130</f>
        <v/>
      </c>
      <c r="AN130" s="130" t="n"/>
      <c r="AO130" s="38">
        <f>AN130*$C130</f>
        <v/>
      </c>
      <c r="AP130" s="130" t="n"/>
      <c r="AQ130" s="38">
        <f>AP130*$C130</f>
        <v/>
      </c>
      <c r="AR130" s="130" t="n"/>
      <c r="AS130" s="38">
        <f>AR130*$C130</f>
        <v/>
      </c>
      <c r="AT130" s="130" t="n"/>
      <c r="AU130" s="38">
        <f>AT130*$C130</f>
        <v/>
      </c>
      <c r="AV130" s="130" t="n"/>
      <c r="AW130" s="38">
        <f>AV130*$C130</f>
        <v/>
      </c>
      <c r="AX130" s="130" t="n"/>
      <c r="AY130" s="38">
        <f>AX130*$C130</f>
        <v/>
      </c>
    </row>
    <row r="131">
      <c r="A131" s="56" t="inlineStr">
        <is>
          <t>SA12900TCM</t>
        </is>
      </c>
      <c r="B131" s="57" t="inlineStr">
        <is>
          <t>Mail Handling Scanning &amp; Data/Image Storing: Technology charge (per month)</t>
        </is>
      </c>
      <c r="C131" s="126" t="n">
        <v>100</v>
      </c>
      <c r="D131" s="127" t="n">
        <v>9</v>
      </c>
      <c r="E131" s="38">
        <f>ROUND(C131*D131,2)</f>
        <v/>
      </c>
      <c r="F131" s="60" t="n"/>
      <c r="G131" s="128">
        <f t="array" ref="G131">SUMPRODUCT(L131:EZ131,--(MOD(COLUMN(L131:EZ131),2)=0))</f>
        <v/>
      </c>
      <c r="H131" s="38">
        <f t="array" ref="H131">SUMPRODUCT(L131:EZ131,MOD(COLUMN(L131:EZ131),2))</f>
        <v/>
      </c>
      <c r="I131" s="129">
        <f>D131-G131</f>
        <v/>
      </c>
      <c r="J131" s="40">
        <f>ROUND(E131,2)-ROUND(H131,2)</f>
        <v/>
      </c>
      <c r="K131" s="116">
        <f>IF(J131=0,"",IF(J131&lt;0,"IMPORTANT:  Over budget - Needs review","Currently at or under budget"))</f>
        <v/>
      </c>
      <c r="L131" s="130" t="n"/>
      <c r="M131" s="40">
        <f>L131*$C131</f>
        <v/>
      </c>
      <c r="N131" s="130" t="n"/>
      <c r="O131" s="40">
        <f>N131*$C131</f>
        <v/>
      </c>
      <c r="P131" s="130" t="n"/>
      <c r="Q131" s="40">
        <f>P131*$C131</f>
        <v/>
      </c>
      <c r="R131" s="130" t="n"/>
      <c r="S131" s="40">
        <f>R131*$C131</f>
        <v/>
      </c>
      <c r="T131" s="130" t="n"/>
      <c r="U131" s="64">
        <f>T131*$C131</f>
        <v/>
      </c>
      <c r="V131" s="130" t="n"/>
      <c r="W131" s="38">
        <f>V131*$C131</f>
        <v/>
      </c>
      <c r="X131" s="130" t="n"/>
      <c r="Y131" s="38">
        <f>X131*$C131</f>
        <v/>
      </c>
      <c r="Z131" s="130" t="n"/>
      <c r="AA131" s="38">
        <f>Z131*$C131</f>
        <v/>
      </c>
      <c r="AB131" s="130" t="n"/>
      <c r="AC131" s="38">
        <f>AB131*$C131</f>
        <v/>
      </c>
      <c r="AD131" s="130" t="n"/>
      <c r="AE131" s="38">
        <f>AD131*$C131</f>
        <v/>
      </c>
      <c r="AF131" s="130" t="n"/>
      <c r="AG131" s="38">
        <f>AF131*$C131</f>
        <v/>
      </c>
      <c r="AH131" s="130" t="n"/>
      <c r="AI131" s="38">
        <f>AH131*$C131</f>
        <v/>
      </c>
      <c r="AJ131" s="130" t="n"/>
      <c r="AK131" s="38">
        <f>AJ131*$C131</f>
        <v/>
      </c>
      <c r="AL131" s="130" t="n"/>
      <c r="AM131" s="38">
        <f>AL131*$C131</f>
        <v/>
      </c>
      <c r="AN131" s="130" t="n"/>
      <c r="AO131" s="38">
        <f>AN131*$C131</f>
        <v/>
      </c>
      <c r="AP131" s="130" t="n"/>
      <c r="AQ131" s="38">
        <f>AP131*$C131</f>
        <v/>
      </c>
      <c r="AR131" s="130" t="n"/>
      <c r="AS131" s="38">
        <f>AR131*$C131</f>
        <v/>
      </c>
      <c r="AT131" s="130" t="n"/>
      <c r="AU131" s="38">
        <f>AT131*$C131</f>
        <v/>
      </c>
      <c r="AV131" s="130" t="n"/>
      <c r="AW131" s="38">
        <f>AV131*$C131</f>
        <v/>
      </c>
      <c r="AX131" s="130" t="n"/>
      <c r="AY131" s="38">
        <f>AX131*$C131</f>
        <v/>
      </c>
    </row>
    <row r="132">
      <c r="A132" s="56" t="inlineStr">
        <is>
          <t>SA12950POO</t>
        </is>
      </c>
      <c r="B132" s="57" t="inlineStr">
        <is>
          <t>Mail Handling Scanning &amp; Data/Image Storing: PO Box Fee (one time fee)</t>
        </is>
      </c>
      <c r="C132" s="126" t="n">
        <v>50</v>
      </c>
      <c r="D132" s="127" t="n">
        <v>9</v>
      </c>
      <c r="E132" s="38">
        <f>ROUND(C132*D132,2)</f>
        <v/>
      </c>
      <c r="F132" s="60" t="n"/>
      <c r="G132" s="128">
        <f t="array" ref="G132">SUMPRODUCT(L132:EZ132,--(MOD(COLUMN(L132:EZ132),2)=0))</f>
        <v/>
      </c>
      <c r="H132" s="38">
        <f t="array" ref="H132">SUMPRODUCT(L132:EZ132,MOD(COLUMN(L132:EZ132),2))</f>
        <v/>
      </c>
      <c r="I132" s="129">
        <f>D132-G132</f>
        <v/>
      </c>
      <c r="J132" s="40">
        <f>ROUND(E132,2)-ROUND(H132,2)</f>
        <v/>
      </c>
      <c r="K132" s="116">
        <f>IF(J132=0,"",IF(J132&lt;0,"IMPORTANT:  Over budget - Needs review","Currently at or under budget"))</f>
        <v/>
      </c>
      <c r="L132" s="130" t="n"/>
      <c r="M132" s="40">
        <f>L132*$C132</f>
        <v/>
      </c>
      <c r="N132" s="130" t="n"/>
      <c r="O132" s="40">
        <f>N132*$C132</f>
        <v/>
      </c>
      <c r="P132" s="130" t="n"/>
      <c r="Q132" s="40">
        <f>P132*$C132</f>
        <v/>
      </c>
      <c r="R132" s="130" t="n"/>
      <c r="S132" s="40">
        <f>R132*$C132</f>
        <v/>
      </c>
      <c r="T132" s="130" t="n"/>
      <c r="U132" s="64">
        <f>T132*$C132</f>
        <v/>
      </c>
      <c r="V132" s="130" t="n"/>
      <c r="W132" s="38">
        <f>V132*$C132</f>
        <v/>
      </c>
      <c r="X132" s="130" t="n"/>
      <c r="Y132" s="38">
        <f>X132*$C132</f>
        <v/>
      </c>
      <c r="Z132" s="130" t="n"/>
      <c r="AA132" s="38">
        <f>Z132*$C132</f>
        <v/>
      </c>
      <c r="AB132" s="130" t="n"/>
      <c r="AC132" s="38">
        <f>AB132*$C132</f>
        <v/>
      </c>
      <c r="AD132" s="130" t="n"/>
      <c r="AE132" s="38">
        <f>AD132*$C132</f>
        <v/>
      </c>
      <c r="AF132" s="130" t="n"/>
      <c r="AG132" s="38">
        <f>AF132*$C132</f>
        <v/>
      </c>
      <c r="AH132" s="130" t="n"/>
      <c r="AI132" s="38">
        <f>AH132*$C132</f>
        <v/>
      </c>
      <c r="AJ132" s="130" t="n"/>
      <c r="AK132" s="38">
        <f>AJ132*$C132</f>
        <v/>
      </c>
      <c r="AL132" s="130" t="n"/>
      <c r="AM132" s="38">
        <f>AL132*$C132</f>
        <v/>
      </c>
      <c r="AN132" s="130" t="n"/>
      <c r="AO132" s="38">
        <f>AN132*$C132</f>
        <v/>
      </c>
      <c r="AP132" s="130" t="n"/>
      <c r="AQ132" s="38">
        <f>AP132*$C132</f>
        <v/>
      </c>
      <c r="AR132" s="130" t="n"/>
      <c r="AS132" s="38">
        <f>AR132*$C132</f>
        <v/>
      </c>
      <c r="AT132" s="130" t="n"/>
      <c r="AU132" s="38">
        <f>AT132*$C132</f>
        <v/>
      </c>
      <c r="AV132" s="130" t="n"/>
      <c r="AW132" s="38">
        <f>AV132*$C132</f>
        <v/>
      </c>
      <c r="AX132" s="130" t="n"/>
      <c r="AY132" s="38">
        <f>AX132*$C132</f>
        <v/>
      </c>
    </row>
    <row r="133">
      <c r="A133" s="56" t="inlineStr">
        <is>
          <t>SA12975BRM</t>
        </is>
      </c>
      <c r="B133" s="57" t="inlineStr">
        <is>
          <t>Mail Handling Scanning &amp; Data/Image Storing: Business Reply Mail setup (one time fee)</t>
        </is>
      </c>
      <c r="C133" s="126" t="n"/>
      <c r="D133" s="127" t="n"/>
      <c r="E133" s="38">
        <f>ROUND(C133*D133,2)</f>
        <v/>
      </c>
      <c r="F133" s="60" t="n"/>
      <c r="G133" s="128">
        <f t="array" ref="G133">SUMPRODUCT(L133:EZ133,--(MOD(COLUMN(L133:EZ133),2)=0))</f>
        <v/>
      </c>
      <c r="H133" s="38">
        <f t="array" ref="H133">SUMPRODUCT(L133:EZ133,MOD(COLUMN(L133:EZ133),2))</f>
        <v/>
      </c>
      <c r="I133" s="129">
        <f>D133-G133</f>
        <v/>
      </c>
      <c r="J133" s="40">
        <f>ROUND(E133,2)-ROUND(H133,2)</f>
        <v/>
      </c>
      <c r="K133" s="116">
        <f>IF(J133=0,"",IF(J133&lt;0,"IMPORTANT:  Over budget - Needs review","Currently at or under budget"))</f>
        <v/>
      </c>
      <c r="L133" s="130" t="n"/>
      <c r="M133" s="40">
        <f>L133*$C133</f>
        <v/>
      </c>
      <c r="N133" s="130" t="n"/>
      <c r="O133" s="40">
        <f>N133*$C133</f>
        <v/>
      </c>
      <c r="P133" s="130" t="n"/>
      <c r="Q133" s="40">
        <f>P133*$C133</f>
        <v/>
      </c>
      <c r="R133" s="130" t="n"/>
      <c r="S133" s="40">
        <f>R133*$C133</f>
        <v/>
      </c>
      <c r="T133" s="130" t="n"/>
      <c r="U133" s="64">
        <f>T133*$C133</f>
        <v/>
      </c>
      <c r="V133" s="130" t="n"/>
      <c r="W133" s="38">
        <f>V133*$C133</f>
        <v/>
      </c>
      <c r="X133" s="130" t="n"/>
      <c r="Y133" s="38">
        <f>X133*$C133</f>
        <v/>
      </c>
      <c r="Z133" s="130" t="n"/>
      <c r="AA133" s="38">
        <f>Z133*$C133</f>
        <v/>
      </c>
      <c r="AB133" s="130" t="n"/>
      <c r="AC133" s="38">
        <f>AB133*$C133</f>
        <v/>
      </c>
      <c r="AD133" s="130" t="n"/>
      <c r="AE133" s="38">
        <f>AD133*$C133</f>
        <v/>
      </c>
      <c r="AF133" s="130" t="n"/>
      <c r="AG133" s="38">
        <f>AF133*$C133</f>
        <v/>
      </c>
      <c r="AH133" s="130" t="n"/>
      <c r="AI133" s="38">
        <f>AH133*$C133</f>
        <v/>
      </c>
      <c r="AJ133" s="130" t="n"/>
      <c r="AK133" s="38">
        <f>AJ133*$C133</f>
        <v/>
      </c>
      <c r="AL133" s="130" t="n"/>
      <c r="AM133" s="38">
        <f>AL133*$C133</f>
        <v/>
      </c>
      <c r="AN133" s="130" t="n"/>
      <c r="AO133" s="38">
        <f>AN133*$C133</f>
        <v/>
      </c>
      <c r="AP133" s="130" t="n"/>
      <c r="AQ133" s="38">
        <f>AP133*$C133</f>
        <v/>
      </c>
      <c r="AR133" s="130" t="n"/>
      <c r="AS133" s="38">
        <f>AR133*$C133</f>
        <v/>
      </c>
      <c r="AT133" s="130" t="n"/>
      <c r="AU133" s="38">
        <f>AT133*$C133</f>
        <v/>
      </c>
      <c r="AV133" s="130" t="n"/>
      <c r="AW133" s="38">
        <f>AV133*$C133</f>
        <v/>
      </c>
      <c r="AX133" s="130" t="n"/>
      <c r="AY133" s="38">
        <f>AX133*$C133</f>
        <v/>
      </c>
    </row>
    <row r="134">
      <c r="A134" s="31" t="inlineStr">
        <is>
          <t>Time</t>
        </is>
      </c>
      <c r="B134" s="65" t="n"/>
      <c r="C134" s="66" t="n"/>
      <c r="D134" s="67" t="n"/>
      <c r="E134" s="38">
        <f>ROUND(C134*D134,2)</f>
        <v/>
      </c>
      <c r="F134" s="60" t="n"/>
      <c r="G134" s="131" t="n"/>
      <c r="H134" s="69" t="n"/>
      <c r="I134" s="70" t="n"/>
      <c r="J134" s="71" t="n"/>
      <c r="L134" s="66" t="n"/>
      <c r="M134" s="71" t="n"/>
      <c r="N134" s="66" t="n"/>
      <c r="O134" s="71" t="n"/>
      <c r="P134" s="66" t="n"/>
      <c r="Q134" s="71" t="n"/>
      <c r="R134" s="66" t="n"/>
      <c r="S134" s="71" t="n"/>
      <c r="T134" s="66" t="n"/>
      <c r="U134" s="72" t="n"/>
      <c r="V134" s="66" t="n"/>
      <c r="W134" s="69" t="n"/>
      <c r="X134" s="66" t="n"/>
      <c r="Y134" s="69" t="n"/>
      <c r="Z134" s="66" t="n"/>
      <c r="AA134" s="69" t="n"/>
      <c r="AB134" s="66" t="n"/>
      <c r="AC134" s="69" t="n"/>
      <c r="AD134" s="66" t="n"/>
      <c r="AE134" s="69" t="n"/>
      <c r="AF134" s="66" t="n"/>
      <c r="AG134" s="69" t="n"/>
      <c r="AH134" s="66" t="n"/>
      <c r="AI134" s="69" t="n"/>
      <c r="AJ134" s="66" t="n"/>
      <c r="AK134" s="69" t="n"/>
      <c r="AL134" s="66" t="n"/>
      <c r="AM134" s="69" t="n"/>
      <c r="AN134" s="66" t="n"/>
      <c r="AO134" s="69" t="n"/>
      <c r="AP134" s="66" t="n"/>
      <c r="AQ134" s="69" t="n"/>
      <c r="AR134" s="66" t="n"/>
      <c r="AS134" s="69" t="n"/>
      <c r="AT134" s="66" t="n"/>
      <c r="AU134" s="69" t="n"/>
      <c r="AV134" s="66" t="n"/>
      <c r="AW134" s="69" t="n"/>
      <c r="AX134" s="66" t="n"/>
      <c r="AY134" s="69" t="n"/>
    </row>
    <row r="135">
      <c r="A135" s="56" t="inlineStr">
        <is>
          <t>HR001-100</t>
        </is>
      </c>
      <c r="B135" s="57" t="inlineStr">
        <is>
          <t>Case Setup - Database management and case Launch</t>
        </is>
      </c>
      <c r="C135" s="73" t="n"/>
      <c r="D135" s="132" t="n"/>
      <c r="E135" s="38">
        <f>ROUND(C135*D135,2)</f>
        <v/>
      </c>
      <c r="F135" s="60" t="n"/>
      <c r="G135" s="128">
        <f t="array" ref="G135">SUMPRODUCT(L135:EZ135,--(MOD(COLUMN(L135:EZ135),2)=0))</f>
        <v/>
      </c>
      <c r="H135" s="38">
        <f t="array" ref="H135">SUMPRODUCT(L135:EZ135,MOD(COLUMN(L135:EZ135),2))</f>
        <v/>
      </c>
      <c r="I135" s="133">
        <f>D135-G135</f>
        <v/>
      </c>
      <c r="J135" s="40">
        <f>ROUND(E135,2)-ROUND(H135,2)</f>
        <v/>
      </c>
      <c r="K135" s="116">
        <f>IF(J135=0,"",IF(J135&lt;0,"IMPORTANT:  Over budget - Needs review","Currently at or under budget"))</f>
        <v/>
      </c>
      <c r="L135" s="134" t="n"/>
      <c r="M135" s="40">
        <f>L135*$C135</f>
        <v/>
      </c>
      <c r="N135" s="134" t="n"/>
      <c r="O135" s="40">
        <f>N135*$C135</f>
        <v/>
      </c>
      <c r="P135" s="134" t="n"/>
      <c r="Q135" s="40">
        <f>P135*$C135</f>
        <v/>
      </c>
      <c r="R135" s="134" t="n"/>
      <c r="S135" s="40">
        <f>R135*$C135</f>
        <v/>
      </c>
      <c r="T135" s="134" t="n"/>
      <c r="U135" s="64">
        <f>T135*$C135</f>
        <v/>
      </c>
      <c r="V135" s="134" t="n"/>
      <c r="W135" s="38">
        <f>V135*$C135</f>
        <v/>
      </c>
      <c r="X135" s="134" t="n"/>
      <c r="Y135" s="38">
        <f>X135*$C135</f>
        <v/>
      </c>
      <c r="Z135" s="134" t="n"/>
      <c r="AA135" s="38">
        <f>Z135*$C135</f>
        <v/>
      </c>
      <c r="AB135" s="134" t="n"/>
      <c r="AC135" s="38">
        <f>AB135*$C135</f>
        <v/>
      </c>
      <c r="AD135" s="134" t="n"/>
      <c r="AE135" s="38">
        <f>AD135*$C135</f>
        <v/>
      </c>
      <c r="AF135" s="134" t="n"/>
      <c r="AG135" s="38">
        <f>AF135*$C135</f>
        <v/>
      </c>
      <c r="AH135" s="134" t="n"/>
      <c r="AI135" s="38">
        <f>AH135*$C135</f>
        <v/>
      </c>
      <c r="AJ135" s="134" t="n"/>
      <c r="AK135" s="38">
        <f>AJ135*$C135</f>
        <v/>
      </c>
      <c r="AL135" s="134" t="n"/>
      <c r="AM135" s="38">
        <f>AL135*$C135</f>
        <v/>
      </c>
      <c r="AN135" s="134" t="n"/>
      <c r="AO135" s="38">
        <f>AN135*$C135</f>
        <v/>
      </c>
      <c r="AP135" s="134" t="n"/>
      <c r="AQ135" s="38">
        <f>AP135*$C135</f>
        <v/>
      </c>
      <c r="AR135" s="134" t="n"/>
      <c r="AS135" s="38">
        <f>AR135*$C135</f>
        <v/>
      </c>
      <c r="AT135" s="134" t="n"/>
      <c r="AU135" s="38">
        <f>AT135*$C135</f>
        <v/>
      </c>
      <c r="AV135" s="134" t="n"/>
      <c r="AW135" s="38">
        <f>AV135*$C135</f>
        <v/>
      </c>
      <c r="AX135" s="134" t="n"/>
      <c r="AY135" s="38">
        <f>AX135*$C135</f>
        <v/>
      </c>
    </row>
    <row r="136">
      <c r="A136" s="56" t="inlineStr">
        <is>
          <t>HR001-500</t>
        </is>
      </c>
      <c r="B136" s="57" t="inlineStr">
        <is>
          <t>Case Setup - Case Setup/Review of Court Documents</t>
        </is>
      </c>
      <c r="C136" s="73" t="n"/>
      <c r="D136" s="132" t="n"/>
      <c r="E136" s="38">
        <f>ROUND(C136*D136,2)</f>
        <v/>
      </c>
      <c r="F136" s="60" t="n"/>
      <c r="G136" s="128">
        <f t="array" ref="G136">SUMPRODUCT(L136:EZ136,--(MOD(COLUMN(L136:EZ136),2)=0))</f>
        <v/>
      </c>
      <c r="H136" s="38">
        <f t="array" ref="H136">SUMPRODUCT(L136:EZ136,MOD(COLUMN(L136:EZ136),2))</f>
        <v/>
      </c>
      <c r="I136" s="133">
        <f>D136-G136</f>
        <v/>
      </c>
      <c r="J136" s="40">
        <f>ROUND(E136,2)-ROUND(H136,2)</f>
        <v/>
      </c>
      <c r="K136" s="116">
        <f>IF(J136=0,"",IF(J136&lt;0,"IMPORTANT:  Over budget - Needs review","Currently at or under budget"))</f>
        <v/>
      </c>
      <c r="L136" s="134" t="n"/>
      <c r="M136" s="40">
        <f>L136*$C136</f>
        <v/>
      </c>
      <c r="N136" s="134" t="n"/>
      <c r="O136" s="40">
        <f>N136*$C136</f>
        <v/>
      </c>
      <c r="P136" s="134" t="n"/>
      <c r="Q136" s="40">
        <f>P136*$C136</f>
        <v/>
      </c>
      <c r="R136" s="134" t="n"/>
      <c r="S136" s="40">
        <f>R136*$C136</f>
        <v/>
      </c>
      <c r="T136" s="134" t="n"/>
      <c r="U136" s="64">
        <f>T136*$C136</f>
        <v/>
      </c>
      <c r="V136" s="134" t="n"/>
      <c r="W136" s="38">
        <f>V136*$C136</f>
        <v/>
      </c>
      <c r="X136" s="134" t="n"/>
      <c r="Y136" s="38">
        <f>X136*$C136</f>
        <v/>
      </c>
      <c r="Z136" s="134" t="n"/>
      <c r="AA136" s="38">
        <f>Z136*$C136</f>
        <v/>
      </c>
      <c r="AB136" s="134" t="n"/>
      <c r="AC136" s="38">
        <f>AB136*$C136</f>
        <v/>
      </c>
      <c r="AD136" s="134" t="n"/>
      <c r="AE136" s="38">
        <f>AD136*$C136</f>
        <v/>
      </c>
      <c r="AF136" s="134" t="n"/>
      <c r="AG136" s="38">
        <f>AF136*$C136</f>
        <v/>
      </c>
      <c r="AH136" s="134" t="n"/>
      <c r="AI136" s="38">
        <f>AH136*$C136</f>
        <v/>
      </c>
      <c r="AJ136" s="134" t="n"/>
      <c r="AK136" s="38">
        <f>AJ136*$C136</f>
        <v/>
      </c>
      <c r="AL136" s="134" t="n"/>
      <c r="AM136" s="38">
        <f>AL136*$C136</f>
        <v/>
      </c>
      <c r="AN136" s="134" t="n"/>
      <c r="AO136" s="38">
        <f>AN136*$C136</f>
        <v/>
      </c>
      <c r="AP136" s="134" t="n"/>
      <c r="AQ136" s="38">
        <f>AP136*$C136</f>
        <v/>
      </c>
      <c r="AR136" s="134" t="n"/>
      <c r="AS136" s="38">
        <f>AR136*$C136</f>
        <v/>
      </c>
      <c r="AT136" s="134" t="n"/>
      <c r="AU136" s="38">
        <f>AT136*$C136</f>
        <v/>
      </c>
      <c r="AV136" s="134" t="n"/>
      <c r="AW136" s="38">
        <f>AV136*$C136</f>
        <v/>
      </c>
      <c r="AX136" s="134" t="n"/>
      <c r="AY136" s="38">
        <f>AX136*$C136</f>
        <v/>
      </c>
    </row>
    <row r="137">
      <c r="A137" s="56" t="inlineStr">
        <is>
          <t>HR002-100</t>
        </is>
      </c>
      <c r="B137" s="57" t="inlineStr">
        <is>
          <t>Notification/Correspondence Fees - Set up format and proof the notice &amp; claim form</t>
        </is>
      </c>
      <c r="C137" s="73" t="n">
        <v>150</v>
      </c>
      <c r="D137" s="132" t="n">
        <v>6</v>
      </c>
      <c r="E137" s="38">
        <f>ROUND(C137*D137,2)</f>
        <v/>
      </c>
      <c r="F137" s="60" t="n"/>
      <c r="G137" s="128">
        <f t="array" ref="G137">SUMPRODUCT(L137:EZ137,--(MOD(COLUMN(L137:EZ137),2)=0))</f>
        <v/>
      </c>
      <c r="H137" s="38">
        <f t="array" ref="H137">SUMPRODUCT(L137:EZ137,MOD(COLUMN(L137:EZ137),2))</f>
        <v/>
      </c>
      <c r="I137" s="133">
        <f>D137-G137</f>
        <v/>
      </c>
      <c r="J137" s="40">
        <f>ROUND(E137,2)-ROUND(H137,2)</f>
        <v/>
      </c>
      <c r="K137" s="116">
        <f>IF(J137=0,"",IF(J137&lt;0,"IMPORTANT:  Over budget - Needs review","Currently at or under budget"))</f>
        <v/>
      </c>
      <c r="L137" s="134" t="n"/>
      <c r="M137" s="40">
        <f>L137*$C137</f>
        <v/>
      </c>
      <c r="N137" s="134" t="n"/>
      <c r="O137" s="40">
        <f>N137*$C137</f>
        <v/>
      </c>
      <c r="P137" s="134" t="n"/>
      <c r="Q137" s="40">
        <f>P137*$C137</f>
        <v/>
      </c>
      <c r="R137" s="134" t="n"/>
      <c r="S137" s="40">
        <f>R137*$C137</f>
        <v/>
      </c>
      <c r="T137" s="134" t="n"/>
      <c r="U137" s="64">
        <f>T137*$C137</f>
        <v/>
      </c>
      <c r="V137" s="134" t="n"/>
      <c r="W137" s="38">
        <f>V137*$C137</f>
        <v/>
      </c>
      <c r="X137" s="134" t="n"/>
      <c r="Y137" s="38">
        <f>X137*$C137</f>
        <v/>
      </c>
      <c r="Z137" s="134" t="n"/>
      <c r="AA137" s="38">
        <f>Z137*$C137</f>
        <v/>
      </c>
      <c r="AB137" s="134" t="n"/>
      <c r="AC137" s="38">
        <f>AB137*$C137</f>
        <v/>
      </c>
      <c r="AD137" s="134" t="n"/>
      <c r="AE137" s="38">
        <f>AD137*$C137</f>
        <v/>
      </c>
      <c r="AF137" s="134" t="n"/>
      <c r="AG137" s="38">
        <f>AF137*$C137</f>
        <v/>
      </c>
      <c r="AH137" s="134" t="n"/>
      <c r="AI137" s="38">
        <f>AH137*$C137</f>
        <v/>
      </c>
      <c r="AJ137" s="134" t="n"/>
      <c r="AK137" s="38">
        <f>AJ137*$C137</f>
        <v/>
      </c>
      <c r="AL137" s="134" t="n"/>
      <c r="AM137" s="38">
        <f>AL137*$C137</f>
        <v/>
      </c>
      <c r="AN137" s="134" t="n"/>
      <c r="AO137" s="38">
        <f>AN137*$C137</f>
        <v/>
      </c>
      <c r="AP137" s="134" t="n"/>
      <c r="AQ137" s="38">
        <f>AP137*$C137</f>
        <v/>
      </c>
      <c r="AR137" s="134" t="n"/>
      <c r="AS137" s="38">
        <f>AR137*$C137</f>
        <v/>
      </c>
      <c r="AT137" s="134" t="n"/>
      <c r="AU137" s="38">
        <f>AT137*$C137</f>
        <v/>
      </c>
      <c r="AV137" s="134" t="n"/>
      <c r="AW137" s="38">
        <f>AV137*$C137</f>
        <v/>
      </c>
      <c r="AX137" s="134" t="n"/>
      <c r="AY137" s="38">
        <f>AX137*$C137</f>
        <v/>
      </c>
    </row>
    <row r="138">
      <c r="A138" s="56" t="inlineStr">
        <is>
          <t>HR002-500</t>
        </is>
      </c>
      <c r="B138" s="57" t="inlineStr">
        <is>
          <t>Notification/Correspondence Fees - Process notice requests and correspondence</t>
        </is>
      </c>
      <c r="C138" s="73" t="n"/>
      <c r="D138" s="132" t="n"/>
      <c r="E138" s="38">
        <f>ROUND(C138*D138,2)</f>
        <v/>
      </c>
      <c r="F138" s="60" t="n"/>
      <c r="G138" s="128">
        <f t="array" ref="G138">SUMPRODUCT(L138:EZ138,--(MOD(COLUMN(L138:EZ138),2)=0))</f>
        <v/>
      </c>
      <c r="H138" s="38">
        <f t="array" ref="H138">SUMPRODUCT(L138:EZ138,MOD(COLUMN(L138:EZ138),2))</f>
        <v/>
      </c>
      <c r="I138" s="133">
        <f>D138-G138</f>
        <v/>
      </c>
      <c r="J138" s="40">
        <f>ROUND(E138,2)-ROUND(H138,2)</f>
        <v/>
      </c>
      <c r="K138" s="116">
        <f>IF(J138=0,"",IF(J138&lt;0,"IMPORTANT:  Over budget - Needs review","Currently at or under budget"))</f>
        <v/>
      </c>
      <c r="L138" s="134" t="n"/>
      <c r="M138" s="40">
        <f>L138*$C138</f>
        <v/>
      </c>
      <c r="N138" s="134" t="n"/>
      <c r="O138" s="40">
        <f>N138*$C138</f>
        <v/>
      </c>
      <c r="P138" s="134" t="n"/>
      <c r="Q138" s="40">
        <f>P138*$C138</f>
        <v/>
      </c>
      <c r="R138" s="134" t="n"/>
      <c r="S138" s="40">
        <f>R138*$C138</f>
        <v/>
      </c>
      <c r="T138" s="134" t="n"/>
      <c r="U138" s="64">
        <f>T138*$C138</f>
        <v/>
      </c>
      <c r="V138" s="134" t="n"/>
      <c r="W138" s="38">
        <f>V138*$C138</f>
        <v/>
      </c>
      <c r="X138" s="134" t="n"/>
      <c r="Y138" s="38">
        <f>X138*$C138</f>
        <v/>
      </c>
      <c r="Z138" s="134" t="n"/>
      <c r="AA138" s="38">
        <f>Z138*$C138</f>
        <v/>
      </c>
      <c r="AB138" s="134" t="n"/>
      <c r="AC138" s="38">
        <f>AB138*$C138</f>
        <v/>
      </c>
      <c r="AD138" s="134" t="n"/>
      <c r="AE138" s="38">
        <f>AD138*$C138</f>
        <v/>
      </c>
      <c r="AF138" s="134" t="n"/>
      <c r="AG138" s="38">
        <f>AF138*$C138</f>
        <v/>
      </c>
      <c r="AH138" s="134" t="n"/>
      <c r="AI138" s="38">
        <f>AH138*$C138</f>
        <v/>
      </c>
      <c r="AJ138" s="134" t="n"/>
      <c r="AK138" s="38">
        <f>AJ138*$C138</f>
        <v/>
      </c>
      <c r="AL138" s="134" t="n"/>
      <c r="AM138" s="38">
        <f>AL138*$C138</f>
        <v/>
      </c>
      <c r="AN138" s="134" t="n"/>
      <c r="AO138" s="38">
        <f>AN138*$C138</f>
        <v/>
      </c>
      <c r="AP138" s="134" t="n"/>
      <c r="AQ138" s="38">
        <f>AP138*$C138</f>
        <v/>
      </c>
      <c r="AR138" s="134" t="n"/>
      <c r="AS138" s="38">
        <f>AR138*$C138</f>
        <v/>
      </c>
      <c r="AT138" s="134" t="n"/>
      <c r="AU138" s="38">
        <f>AT138*$C138</f>
        <v/>
      </c>
      <c r="AV138" s="134" t="n"/>
      <c r="AW138" s="38">
        <f>AV138*$C138</f>
        <v/>
      </c>
      <c r="AX138" s="134" t="n"/>
      <c r="AY138" s="38">
        <f>AX138*$C138</f>
        <v/>
      </c>
    </row>
    <row r="139">
      <c r="A139" s="56" t="inlineStr">
        <is>
          <t>HR002-900</t>
        </is>
      </c>
      <c r="B139" s="57" t="inlineStr">
        <is>
          <t>Notification/Correspondence Fees - Draft notice materials</t>
        </is>
      </c>
      <c r="C139" s="73" t="n"/>
      <c r="D139" s="132" t="n"/>
      <c r="E139" s="38">
        <f>ROUND(C139*D139,2)</f>
        <v/>
      </c>
      <c r="F139" s="60" t="n"/>
      <c r="G139" s="128">
        <f t="array" ref="G139">SUMPRODUCT(L139:EZ139,--(MOD(COLUMN(L139:EZ139),2)=0))</f>
        <v/>
      </c>
      <c r="H139" s="38">
        <f t="array" ref="H139">SUMPRODUCT(L139:EZ139,MOD(COLUMN(L139:EZ139),2))</f>
        <v/>
      </c>
      <c r="I139" s="133">
        <f>D139-G139</f>
        <v/>
      </c>
      <c r="J139" s="40">
        <f>ROUND(E139,2)-ROUND(H139,2)</f>
        <v/>
      </c>
      <c r="K139" s="116">
        <f>IF(J139=0,"",IF(J139&lt;0,"IMPORTANT:  Over budget - Needs review","Currently at or under budget"))</f>
        <v/>
      </c>
      <c r="L139" s="134" t="n"/>
      <c r="M139" s="40">
        <f>L139*$C139</f>
        <v/>
      </c>
      <c r="N139" s="134" t="n"/>
      <c r="O139" s="40">
        <f>N139*$C139</f>
        <v/>
      </c>
      <c r="P139" s="134" t="n"/>
      <c r="Q139" s="40">
        <f>P139*$C139</f>
        <v/>
      </c>
      <c r="R139" s="134" t="n"/>
      <c r="S139" s="40">
        <f>R139*$C139</f>
        <v/>
      </c>
      <c r="T139" s="134" t="n"/>
      <c r="U139" s="64">
        <f>T139*$C139</f>
        <v/>
      </c>
      <c r="V139" s="134" t="n"/>
      <c r="W139" s="38">
        <f>V139*$C139</f>
        <v/>
      </c>
      <c r="X139" s="134" t="n"/>
      <c r="Y139" s="38">
        <f>X139*$C139</f>
        <v/>
      </c>
      <c r="Z139" s="134" t="n"/>
      <c r="AA139" s="38">
        <f>Z139*$C139</f>
        <v/>
      </c>
      <c r="AB139" s="134" t="n"/>
      <c r="AC139" s="38">
        <f>AB139*$C139</f>
        <v/>
      </c>
      <c r="AD139" s="134" t="n"/>
      <c r="AE139" s="38">
        <f>AD139*$C139</f>
        <v/>
      </c>
      <c r="AF139" s="134" t="n"/>
      <c r="AG139" s="38">
        <f>AF139*$C139</f>
        <v/>
      </c>
      <c r="AH139" s="134" t="n"/>
      <c r="AI139" s="38">
        <f>AH139*$C139</f>
        <v/>
      </c>
      <c r="AJ139" s="134" t="n"/>
      <c r="AK139" s="38">
        <f>AJ139*$C139</f>
        <v/>
      </c>
      <c r="AL139" s="134" t="n"/>
      <c r="AM139" s="38">
        <f>AL139*$C139</f>
        <v/>
      </c>
      <c r="AN139" s="134" t="n"/>
      <c r="AO139" s="38">
        <f>AN139*$C139</f>
        <v/>
      </c>
      <c r="AP139" s="134" t="n"/>
      <c r="AQ139" s="38">
        <f>AP139*$C139</f>
        <v/>
      </c>
      <c r="AR139" s="134" t="n"/>
      <c r="AS139" s="38">
        <f>AR139*$C139</f>
        <v/>
      </c>
      <c r="AT139" s="134" t="n"/>
      <c r="AU139" s="38">
        <f>AT139*$C139</f>
        <v/>
      </c>
      <c r="AV139" s="134" t="n"/>
      <c r="AW139" s="38">
        <f>AV139*$C139</f>
        <v/>
      </c>
      <c r="AX139" s="134" t="n"/>
      <c r="AY139" s="38">
        <f>AX139*$C139</f>
        <v/>
      </c>
    </row>
    <row r="140">
      <c r="A140" s="56" t="inlineStr">
        <is>
          <t>HR003-100</t>
        </is>
      </c>
      <c r="B140" s="57" t="inlineStr">
        <is>
          <t>Website - Project team/IT time to build a portal/website</t>
        </is>
      </c>
      <c r="C140" s="73" t="n"/>
      <c r="D140" s="132" t="n"/>
      <c r="E140" s="38">
        <f>ROUND(C140*D140,2)</f>
        <v/>
      </c>
      <c r="F140" s="60" t="n"/>
      <c r="G140" s="128">
        <f t="array" ref="G140">SUMPRODUCT(L140:EZ140,--(MOD(COLUMN(L140:EZ140),2)=0))</f>
        <v/>
      </c>
      <c r="H140" s="38">
        <f t="array" ref="H140">SUMPRODUCT(L140:EZ140,MOD(COLUMN(L140:EZ140),2))</f>
        <v/>
      </c>
      <c r="I140" s="133">
        <f>D140-G140</f>
        <v/>
      </c>
      <c r="J140" s="40">
        <f>ROUND(E140,2)-ROUND(H140,2)</f>
        <v/>
      </c>
      <c r="K140" s="116">
        <f>IF(J140=0,"",IF(J140&lt;0,"IMPORTANT:  Over budget - Needs review","Currently at or under budget"))</f>
        <v/>
      </c>
      <c r="L140" s="134" t="n"/>
      <c r="M140" s="40">
        <f>L140*$C140</f>
        <v/>
      </c>
      <c r="N140" s="134" t="n"/>
      <c r="O140" s="40">
        <f>N140*$C140</f>
        <v/>
      </c>
      <c r="P140" s="134" t="n"/>
      <c r="Q140" s="40">
        <f>P140*$C140</f>
        <v/>
      </c>
      <c r="R140" s="134" t="n"/>
      <c r="S140" s="40">
        <f>R140*$C140</f>
        <v/>
      </c>
      <c r="T140" s="134" t="n"/>
      <c r="U140" s="64">
        <f>T140*$C140</f>
        <v/>
      </c>
      <c r="V140" s="134" t="n"/>
      <c r="W140" s="38">
        <f>V140*$C140</f>
        <v/>
      </c>
      <c r="X140" s="134" t="n"/>
      <c r="Y140" s="38">
        <f>X140*$C140</f>
        <v/>
      </c>
      <c r="Z140" s="134" t="n"/>
      <c r="AA140" s="38">
        <f>Z140*$C140</f>
        <v/>
      </c>
      <c r="AB140" s="134" t="n"/>
      <c r="AC140" s="38">
        <f>AB140*$C140</f>
        <v/>
      </c>
      <c r="AD140" s="134" t="n"/>
      <c r="AE140" s="38">
        <f>AD140*$C140</f>
        <v/>
      </c>
      <c r="AF140" s="134" t="n"/>
      <c r="AG140" s="38">
        <f>AF140*$C140</f>
        <v/>
      </c>
      <c r="AH140" s="134" t="n"/>
      <c r="AI140" s="38">
        <f>AH140*$C140</f>
        <v/>
      </c>
      <c r="AJ140" s="134" t="n"/>
      <c r="AK140" s="38">
        <f>AJ140*$C140</f>
        <v/>
      </c>
      <c r="AL140" s="134" t="n"/>
      <c r="AM140" s="38">
        <f>AL140*$C140</f>
        <v/>
      </c>
      <c r="AN140" s="134" t="n"/>
      <c r="AO140" s="38">
        <f>AN140*$C140</f>
        <v/>
      </c>
      <c r="AP140" s="134" t="n"/>
      <c r="AQ140" s="38">
        <f>AP140*$C140</f>
        <v/>
      </c>
      <c r="AR140" s="134" t="n"/>
      <c r="AS140" s="38">
        <f>AR140*$C140</f>
        <v/>
      </c>
      <c r="AT140" s="134" t="n"/>
      <c r="AU140" s="38">
        <f>AT140*$C140</f>
        <v/>
      </c>
      <c r="AV140" s="134" t="n"/>
      <c r="AW140" s="38">
        <f>AV140*$C140</f>
        <v/>
      </c>
      <c r="AX140" s="134" t="n"/>
      <c r="AY140" s="38">
        <f>AX140*$C140</f>
        <v/>
      </c>
    </row>
    <row r="141">
      <c r="A141" s="56" t="inlineStr">
        <is>
          <t>HR003-600</t>
        </is>
      </c>
      <c r="B141" s="57" t="inlineStr">
        <is>
          <t>Website - Modifications to post-production website</t>
        </is>
      </c>
      <c r="C141" s="73" t="n">
        <v>150</v>
      </c>
      <c r="D141" s="132" t="n">
        <v>5</v>
      </c>
      <c r="E141" s="38">
        <f>ROUND(C141*D141,2)</f>
        <v/>
      </c>
      <c r="F141" s="60" t="n"/>
      <c r="G141" s="128">
        <f t="array" ref="G141">SUMPRODUCT(L141:EZ141,--(MOD(COLUMN(L141:EZ141),2)=0))</f>
        <v/>
      </c>
      <c r="H141" s="38">
        <f t="array" ref="H141">SUMPRODUCT(L141:EZ141,MOD(COLUMN(L141:EZ141),2))</f>
        <v/>
      </c>
      <c r="I141" s="133">
        <f>D141-G141</f>
        <v/>
      </c>
      <c r="J141" s="40">
        <f>ROUND(E141,2)-ROUND(H141,2)</f>
        <v/>
      </c>
      <c r="K141" s="116">
        <f>IF(J141=0,"",IF(J141&lt;0,"IMPORTANT:  Over budget - Needs review","Currently at or under budget"))</f>
        <v/>
      </c>
      <c r="L141" s="134" t="n"/>
      <c r="M141" s="40">
        <f>L141*$C141</f>
        <v/>
      </c>
      <c r="N141" s="134" t="n"/>
      <c r="O141" s="40">
        <f>N141*$C141</f>
        <v/>
      </c>
      <c r="P141" s="134" t="n"/>
      <c r="Q141" s="40">
        <f>P141*$C141</f>
        <v/>
      </c>
      <c r="R141" s="134" t="n"/>
      <c r="S141" s="40">
        <f>R141*$C141</f>
        <v/>
      </c>
      <c r="T141" s="134" t="n"/>
      <c r="U141" s="64">
        <f>T141*$C141</f>
        <v/>
      </c>
      <c r="V141" s="134" t="n"/>
      <c r="W141" s="38">
        <f>V141*$C141</f>
        <v/>
      </c>
      <c r="X141" s="134" t="n"/>
      <c r="Y141" s="38">
        <f>X141*$C141</f>
        <v/>
      </c>
      <c r="Z141" s="134" t="n"/>
      <c r="AA141" s="38">
        <f>Z141*$C141</f>
        <v/>
      </c>
      <c r="AB141" s="134" t="n"/>
      <c r="AC141" s="38">
        <f>AB141*$C141</f>
        <v/>
      </c>
      <c r="AD141" s="134" t="n"/>
      <c r="AE141" s="38">
        <f>AD141*$C141</f>
        <v/>
      </c>
      <c r="AF141" s="134" t="n"/>
      <c r="AG141" s="38">
        <f>AF141*$C141</f>
        <v/>
      </c>
      <c r="AH141" s="134" t="n"/>
      <c r="AI141" s="38">
        <f>AH141*$C141</f>
        <v/>
      </c>
      <c r="AJ141" s="134" t="n"/>
      <c r="AK141" s="38">
        <f>AJ141*$C141</f>
        <v/>
      </c>
      <c r="AL141" s="134" t="n"/>
      <c r="AM141" s="38">
        <f>AL141*$C141</f>
        <v/>
      </c>
      <c r="AN141" s="134" t="n"/>
      <c r="AO141" s="38">
        <f>AN141*$C141</f>
        <v/>
      </c>
      <c r="AP141" s="134" t="n"/>
      <c r="AQ141" s="38">
        <f>AP141*$C141</f>
        <v/>
      </c>
      <c r="AR141" s="134" t="n"/>
      <c r="AS141" s="38">
        <f>AR141*$C141</f>
        <v/>
      </c>
      <c r="AT141" s="134" t="n"/>
      <c r="AU141" s="38">
        <f>AT141*$C141</f>
        <v/>
      </c>
      <c r="AV141" s="134" t="n"/>
      <c r="AW141" s="38">
        <f>AV141*$C141</f>
        <v/>
      </c>
      <c r="AX141" s="134" t="n"/>
      <c r="AY141" s="38">
        <f>AX141*$C141</f>
        <v/>
      </c>
    </row>
    <row r="142">
      <c r="A142" s="56" t="inlineStr">
        <is>
          <t>HR004-100</t>
        </is>
      </c>
      <c r="B142" s="57" t="inlineStr">
        <is>
          <t>Contact Center- IVR Setup and operator training</t>
        </is>
      </c>
      <c r="C142" s="73" t="n"/>
      <c r="D142" s="132" t="n"/>
      <c r="E142" s="38">
        <f>ROUND(C142*D142,2)</f>
        <v/>
      </c>
      <c r="F142" s="60" t="n"/>
      <c r="G142" s="128">
        <f t="array" ref="G142">SUMPRODUCT(L142:EZ142,--(MOD(COLUMN(L142:EZ142),2)=0))</f>
        <v/>
      </c>
      <c r="H142" s="38">
        <f t="array" ref="H142">SUMPRODUCT(L142:EZ142,MOD(COLUMN(L142:EZ142),2))</f>
        <v/>
      </c>
      <c r="I142" s="133">
        <f>D142-G142</f>
        <v/>
      </c>
      <c r="J142" s="40">
        <f>ROUND(E142,2)-ROUND(H142,2)</f>
        <v/>
      </c>
      <c r="K142" s="116">
        <f>IF(J142=0,"",IF(J142&lt;0,"IMPORTANT:  Over budget - Needs review","Currently at or under budget"))</f>
        <v/>
      </c>
      <c r="L142" s="134" t="n"/>
      <c r="M142" s="40">
        <f>L142*$C142</f>
        <v/>
      </c>
      <c r="N142" s="134" t="n"/>
      <c r="O142" s="40">
        <f>N142*$C142</f>
        <v/>
      </c>
      <c r="P142" s="134" t="n"/>
      <c r="Q142" s="40">
        <f>P142*$C142</f>
        <v/>
      </c>
      <c r="R142" s="134" t="n"/>
      <c r="S142" s="40">
        <f>R142*$C142</f>
        <v/>
      </c>
      <c r="T142" s="134" t="n"/>
      <c r="U142" s="64">
        <f>T142*$C142</f>
        <v/>
      </c>
      <c r="V142" s="134" t="n"/>
      <c r="W142" s="38">
        <f>V142*$C142</f>
        <v/>
      </c>
      <c r="X142" s="134" t="n"/>
      <c r="Y142" s="38">
        <f>X142*$C142</f>
        <v/>
      </c>
      <c r="Z142" s="134" t="n"/>
      <c r="AA142" s="38">
        <f>Z142*$C142</f>
        <v/>
      </c>
      <c r="AB142" s="134" t="n"/>
      <c r="AC142" s="38">
        <f>AB142*$C142</f>
        <v/>
      </c>
      <c r="AD142" s="134" t="n"/>
      <c r="AE142" s="38">
        <f>AD142*$C142</f>
        <v/>
      </c>
      <c r="AF142" s="134" t="n"/>
      <c r="AG142" s="38">
        <f>AF142*$C142</f>
        <v/>
      </c>
      <c r="AH142" s="134" t="n"/>
      <c r="AI142" s="38">
        <f>AH142*$C142</f>
        <v/>
      </c>
      <c r="AJ142" s="134" t="n"/>
      <c r="AK142" s="38">
        <f>AJ142*$C142</f>
        <v/>
      </c>
      <c r="AL142" s="134" t="n"/>
      <c r="AM142" s="38">
        <f>AL142*$C142</f>
        <v/>
      </c>
      <c r="AN142" s="134" t="n"/>
      <c r="AO142" s="38">
        <f>AN142*$C142</f>
        <v/>
      </c>
      <c r="AP142" s="134" t="n"/>
      <c r="AQ142" s="38">
        <f>AP142*$C142</f>
        <v/>
      </c>
      <c r="AR142" s="134" t="n"/>
      <c r="AS142" s="38">
        <f>AR142*$C142</f>
        <v/>
      </c>
      <c r="AT142" s="134" t="n"/>
      <c r="AU142" s="38">
        <f>AT142*$C142</f>
        <v/>
      </c>
      <c r="AV142" s="134" t="n"/>
      <c r="AW142" s="38">
        <f>AV142*$C142</f>
        <v/>
      </c>
      <c r="AX142" s="134" t="n"/>
      <c r="AY142" s="38">
        <f>AX142*$C142</f>
        <v/>
      </c>
    </row>
    <row r="143">
      <c r="A143" s="56" t="inlineStr">
        <is>
          <t>HR004-300</t>
        </is>
      </c>
      <c r="B143" s="57" t="inlineStr">
        <is>
          <t>Contact Center - User operator - operator hours</t>
        </is>
      </c>
      <c r="C143" s="73" t="n"/>
      <c r="D143" s="132" t="n"/>
      <c r="E143" s="38">
        <f>ROUND(C143*D143,2)</f>
        <v/>
      </c>
      <c r="F143" s="60" t="n"/>
      <c r="G143" s="128">
        <f t="array" ref="G143">SUMPRODUCT(L143:EZ143,--(MOD(COLUMN(L143:EZ143),2)=0))</f>
        <v/>
      </c>
      <c r="H143" s="38">
        <f t="array" ref="H143">SUMPRODUCT(L143:EZ143,MOD(COLUMN(L143:EZ143),2))</f>
        <v/>
      </c>
      <c r="I143" s="133">
        <f>D143-G143</f>
        <v/>
      </c>
      <c r="J143" s="40">
        <f>ROUND(E143,2)-ROUND(H143,2)</f>
        <v/>
      </c>
      <c r="K143" s="116">
        <f>IF(J143=0,"",IF(J143&lt;0,"IMPORTANT:  Over budget - Needs review","Currently at or under budget"))</f>
        <v/>
      </c>
      <c r="L143" s="134" t="n"/>
      <c r="M143" s="40">
        <f>L143*$C143</f>
        <v/>
      </c>
      <c r="N143" s="134" t="n"/>
      <c r="O143" s="40">
        <f>N143*$C143</f>
        <v/>
      </c>
      <c r="P143" s="134" t="n"/>
      <c r="Q143" s="40">
        <f>P143*$C143</f>
        <v/>
      </c>
      <c r="R143" s="134" t="n"/>
      <c r="S143" s="40">
        <f>R143*$C143</f>
        <v/>
      </c>
      <c r="T143" s="134" t="n"/>
      <c r="U143" s="64">
        <f>T143*$C143</f>
        <v/>
      </c>
      <c r="V143" s="134" t="n"/>
      <c r="W143" s="38">
        <f>V143*$C143</f>
        <v/>
      </c>
      <c r="X143" s="134" t="n"/>
      <c r="Y143" s="38">
        <f>X143*$C143</f>
        <v/>
      </c>
      <c r="Z143" s="134" t="n"/>
      <c r="AA143" s="38">
        <f>Z143*$C143</f>
        <v/>
      </c>
      <c r="AB143" s="134" t="n"/>
      <c r="AC143" s="38">
        <f>AB143*$C143</f>
        <v/>
      </c>
      <c r="AD143" s="134" t="n"/>
      <c r="AE143" s="38">
        <f>AD143*$C143</f>
        <v/>
      </c>
      <c r="AF143" s="134" t="n"/>
      <c r="AG143" s="38">
        <f>AF143*$C143</f>
        <v/>
      </c>
      <c r="AH143" s="134" t="n"/>
      <c r="AI143" s="38">
        <f>AH143*$C143</f>
        <v/>
      </c>
      <c r="AJ143" s="134" t="n"/>
      <c r="AK143" s="38">
        <f>AJ143*$C143</f>
        <v/>
      </c>
      <c r="AL143" s="134" t="n"/>
      <c r="AM143" s="38">
        <f>AL143*$C143</f>
        <v/>
      </c>
      <c r="AN143" s="134" t="n"/>
      <c r="AO143" s="38">
        <f>AN143*$C143</f>
        <v/>
      </c>
      <c r="AP143" s="134" t="n"/>
      <c r="AQ143" s="38">
        <f>AP143*$C143</f>
        <v/>
      </c>
      <c r="AR143" s="134" t="n"/>
      <c r="AS143" s="38">
        <f>AR143*$C143</f>
        <v/>
      </c>
      <c r="AT143" s="134" t="n"/>
      <c r="AU143" s="38">
        <f>AT143*$C143</f>
        <v/>
      </c>
      <c r="AV143" s="134" t="n"/>
      <c r="AW143" s="38">
        <f>AV143*$C143</f>
        <v/>
      </c>
      <c r="AX143" s="134" t="n"/>
      <c r="AY143" s="38">
        <f>AX143*$C143</f>
        <v/>
      </c>
    </row>
    <row r="144">
      <c r="A144" s="56" t="inlineStr">
        <is>
          <t>HR004-600</t>
        </is>
      </c>
      <c r="B144" s="57" t="inlineStr">
        <is>
          <t>Contact Center - Outbound calls</t>
        </is>
      </c>
      <c r="C144" s="73" t="n"/>
      <c r="D144" s="132" t="n"/>
      <c r="E144" s="38">
        <f>ROUND(C144*D144,2)</f>
        <v/>
      </c>
      <c r="F144" s="60" t="n"/>
      <c r="G144" s="128">
        <f t="array" ref="G144">SUMPRODUCT(L144:EZ144,--(MOD(COLUMN(L144:EZ144),2)=0))</f>
        <v/>
      </c>
      <c r="H144" s="38">
        <f t="array" ref="H144">SUMPRODUCT(L144:EZ144,MOD(COLUMN(L144:EZ144),2))</f>
        <v/>
      </c>
      <c r="I144" s="133">
        <f>D144-G144</f>
        <v/>
      </c>
      <c r="J144" s="40">
        <f>ROUND(E144,2)-ROUND(H144,2)</f>
        <v/>
      </c>
      <c r="K144" s="116">
        <f>IF(J144=0,"",IF(J144&lt;0,"IMPORTANT:  Over budget - Needs review","Currently at or under budget"))</f>
        <v/>
      </c>
      <c r="L144" s="134" t="n"/>
      <c r="M144" s="40">
        <f>L144*$C144</f>
        <v/>
      </c>
      <c r="N144" s="134" t="n"/>
      <c r="O144" s="40">
        <f>N144*$C144</f>
        <v/>
      </c>
      <c r="P144" s="134" t="n"/>
      <c r="Q144" s="40">
        <f>P144*$C144</f>
        <v/>
      </c>
      <c r="R144" s="134" t="n"/>
      <c r="S144" s="40">
        <f>R144*$C144</f>
        <v/>
      </c>
      <c r="T144" s="134" t="n"/>
      <c r="U144" s="64">
        <f>T144*$C144</f>
        <v/>
      </c>
      <c r="V144" s="134" t="n"/>
      <c r="W144" s="38">
        <f>V144*$C144</f>
        <v/>
      </c>
      <c r="X144" s="134" t="n"/>
      <c r="Y144" s="38">
        <f>X144*$C144</f>
        <v/>
      </c>
      <c r="Z144" s="134" t="n"/>
      <c r="AA144" s="38">
        <f>Z144*$C144</f>
        <v/>
      </c>
      <c r="AB144" s="134" t="n"/>
      <c r="AC144" s="38">
        <f>AB144*$C144</f>
        <v/>
      </c>
      <c r="AD144" s="134" t="n"/>
      <c r="AE144" s="38">
        <f>AD144*$C144</f>
        <v/>
      </c>
      <c r="AF144" s="134" t="n"/>
      <c r="AG144" s="38">
        <f>AF144*$C144</f>
        <v/>
      </c>
      <c r="AH144" s="134" t="n"/>
      <c r="AI144" s="38">
        <f>AH144*$C144</f>
        <v/>
      </c>
      <c r="AJ144" s="134" t="n"/>
      <c r="AK144" s="38">
        <f>AJ144*$C144</f>
        <v/>
      </c>
      <c r="AL144" s="134" t="n"/>
      <c r="AM144" s="38">
        <f>AL144*$C144</f>
        <v/>
      </c>
      <c r="AN144" s="134" t="n"/>
      <c r="AO144" s="38">
        <f>AN144*$C144</f>
        <v/>
      </c>
      <c r="AP144" s="134" t="n"/>
      <c r="AQ144" s="38">
        <f>AP144*$C144</f>
        <v/>
      </c>
      <c r="AR144" s="134" t="n"/>
      <c r="AS144" s="38">
        <f>AR144*$C144</f>
        <v/>
      </c>
      <c r="AT144" s="134" t="n"/>
      <c r="AU144" s="38">
        <f>AT144*$C144</f>
        <v/>
      </c>
      <c r="AV144" s="134" t="n"/>
      <c r="AW144" s="38">
        <f>AV144*$C144</f>
        <v/>
      </c>
      <c r="AX144" s="134" t="n"/>
      <c r="AY144" s="38">
        <f>AX144*$C144</f>
        <v/>
      </c>
    </row>
    <row r="145">
      <c r="A145" s="56" t="inlineStr">
        <is>
          <t>HR005-100</t>
        </is>
      </c>
      <c r="B145" s="57" t="inlineStr">
        <is>
          <t>Media Campaign - Media campaign hours</t>
        </is>
      </c>
      <c r="C145" s="73" t="n"/>
      <c r="D145" s="132" t="n"/>
      <c r="E145" s="38">
        <f>ROUND(C145*D145,2)</f>
        <v/>
      </c>
      <c r="F145" s="60" t="n"/>
      <c r="G145" s="128">
        <f t="array" ref="G145">SUMPRODUCT(L145:EZ145,--(MOD(COLUMN(L145:EZ145),2)=0))</f>
        <v/>
      </c>
      <c r="H145" s="38">
        <f t="array" ref="H145">SUMPRODUCT(L145:EZ145,MOD(COLUMN(L145:EZ145),2))</f>
        <v/>
      </c>
      <c r="I145" s="133">
        <f>D145-G145</f>
        <v/>
      </c>
      <c r="J145" s="40">
        <f>ROUND(E145,2)-ROUND(H145,2)</f>
        <v/>
      </c>
      <c r="K145" s="116">
        <f>IF(J145=0,"",IF(J145&lt;0,"IMPORTANT:  Over budget - Needs review","Currently at or under budget"))</f>
        <v/>
      </c>
      <c r="L145" s="134" t="n"/>
      <c r="M145" s="40">
        <f>L145*$C145</f>
        <v/>
      </c>
      <c r="N145" s="134" t="n"/>
      <c r="O145" s="40">
        <f>N145*$C145</f>
        <v/>
      </c>
      <c r="P145" s="134" t="n"/>
      <c r="Q145" s="40">
        <f>P145*$C145</f>
        <v/>
      </c>
      <c r="R145" s="134" t="n"/>
      <c r="S145" s="40">
        <f>R145*$C145</f>
        <v/>
      </c>
      <c r="T145" s="134" t="n"/>
      <c r="U145" s="64">
        <f>T145*$C145</f>
        <v/>
      </c>
      <c r="V145" s="134" t="n"/>
      <c r="W145" s="38">
        <f>V145*$C145</f>
        <v/>
      </c>
      <c r="X145" s="134" t="n"/>
      <c r="Y145" s="38">
        <f>X145*$C145</f>
        <v/>
      </c>
      <c r="Z145" s="134" t="n"/>
      <c r="AA145" s="38">
        <f>Z145*$C145</f>
        <v/>
      </c>
      <c r="AB145" s="134" t="n"/>
      <c r="AC145" s="38">
        <f>AB145*$C145</f>
        <v/>
      </c>
      <c r="AD145" s="134" t="n"/>
      <c r="AE145" s="38">
        <f>AD145*$C145</f>
        <v/>
      </c>
      <c r="AF145" s="134" t="n"/>
      <c r="AG145" s="38">
        <f>AF145*$C145</f>
        <v/>
      </c>
      <c r="AH145" s="134" t="n"/>
      <c r="AI145" s="38">
        <f>AH145*$C145</f>
        <v/>
      </c>
      <c r="AJ145" s="134" t="n"/>
      <c r="AK145" s="38">
        <f>AJ145*$C145</f>
        <v/>
      </c>
      <c r="AL145" s="134" t="n"/>
      <c r="AM145" s="38">
        <f>AL145*$C145</f>
        <v/>
      </c>
      <c r="AN145" s="134" t="n"/>
      <c r="AO145" s="38">
        <f>AN145*$C145</f>
        <v/>
      </c>
      <c r="AP145" s="134" t="n"/>
      <c r="AQ145" s="38">
        <f>AP145*$C145</f>
        <v/>
      </c>
      <c r="AR145" s="134" t="n"/>
      <c r="AS145" s="38">
        <f>AR145*$C145</f>
        <v/>
      </c>
      <c r="AT145" s="134" t="n"/>
      <c r="AU145" s="38">
        <f>AT145*$C145</f>
        <v/>
      </c>
      <c r="AV145" s="134" t="n"/>
      <c r="AW145" s="38">
        <f>AV145*$C145</f>
        <v/>
      </c>
      <c r="AX145" s="134" t="n"/>
      <c r="AY145" s="38">
        <f>AX145*$C145</f>
        <v/>
      </c>
    </row>
    <row r="146">
      <c r="A146" s="56" t="inlineStr">
        <is>
          <t>HR005-300</t>
        </is>
      </c>
      <c r="B146" s="57" t="inlineStr">
        <is>
          <t>Media Campaign - Kroll Media Expert</t>
        </is>
      </c>
      <c r="C146" s="73" t="n"/>
      <c r="D146" s="132" t="n"/>
      <c r="E146" s="38">
        <f>ROUND(C146*D146,2)</f>
        <v/>
      </c>
      <c r="F146" s="60" t="n"/>
      <c r="G146" s="128">
        <f t="array" ref="G146">SUMPRODUCT(L146:EZ146,--(MOD(COLUMN(L146:EZ146),2)=0))</f>
        <v/>
      </c>
      <c r="H146" s="38">
        <f t="array" ref="H146">SUMPRODUCT(L146:EZ146,MOD(COLUMN(L146:EZ146),2))</f>
        <v/>
      </c>
      <c r="I146" s="133">
        <f>D146-G146</f>
        <v/>
      </c>
      <c r="J146" s="40">
        <f>ROUND(E146,2)-ROUND(H146,2)</f>
        <v/>
      </c>
      <c r="K146" s="116">
        <f>IF(J146=0,"",IF(J146&lt;0,"IMPORTANT:  Over budget - Needs review","Currently at or under budget"))</f>
        <v/>
      </c>
      <c r="L146" s="134" t="n"/>
      <c r="M146" s="40">
        <f>L146*$C146</f>
        <v/>
      </c>
      <c r="N146" s="134" t="n"/>
      <c r="O146" s="40">
        <f>N146*$C146</f>
        <v/>
      </c>
      <c r="P146" s="134" t="n"/>
      <c r="Q146" s="40">
        <f>P146*$C146</f>
        <v/>
      </c>
      <c r="R146" s="134" t="n"/>
      <c r="S146" s="40">
        <f>R146*$C146</f>
        <v/>
      </c>
      <c r="T146" s="134" t="n"/>
      <c r="U146" s="64">
        <f>T146*$C146</f>
        <v/>
      </c>
      <c r="V146" s="134" t="n"/>
      <c r="W146" s="38">
        <f>V146*$C146</f>
        <v/>
      </c>
      <c r="X146" s="134" t="n"/>
      <c r="Y146" s="38">
        <f>X146*$C146</f>
        <v/>
      </c>
      <c r="Z146" s="134" t="n"/>
      <c r="AA146" s="38">
        <f>Z146*$C146</f>
        <v/>
      </c>
      <c r="AB146" s="134" t="n"/>
      <c r="AC146" s="38">
        <f>AB146*$C146</f>
        <v/>
      </c>
      <c r="AD146" s="134" t="n"/>
      <c r="AE146" s="38">
        <f>AD146*$C146</f>
        <v/>
      </c>
      <c r="AF146" s="134" t="n"/>
      <c r="AG146" s="38">
        <f>AF146*$C146</f>
        <v/>
      </c>
      <c r="AH146" s="134" t="n"/>
      <c r="AI146" s="38">
        <f>AH146*$C146</f>
        <v/>
      </c>
      <c r="AJ146" s="134" t="n"/>
      <c r="AK146" s="38">
        <f>AJ146*$C146</f>
        <v/>
      </c>
      <c r="AL146" s="134" t="n"/>
      <c r="AM146" s="38">
        <f>AL146*$C146</f>
        <v/>
      </c>
      <c r="AN146" s="134" t="n"/>
      <c r="AO146" s="38">
        <f>AN146*$C146</f>
        <v/>
      </c>
      <c r="AP146" s="134" t="n"/>
      <c r="AQ146" s="38">
        <f>AP146*$C146</f>
        <v/>
      </c>
      <c r="AR146" s="134" t="n"/>
      <c r="AS146" s="38">
        <f>AR146*$C146</f>
        <v/>
      </c>
      <c r="AT146" s="134" t="n"/>
      <c r="AU146" s="38">
        <f>AT146*$C146</f>
        <v/>
      </c>
      <c r="AV146" s="134" t="n"/>
      <c r="AW146" s="38">
        <f>AV146*$C146</f>
        <v/>
      </c>
      <c r="AX146" s="134" t="n"/>
      <c r="AY146" s="38">
        <f>AX146*$C146</f>
        <v/>
      </c>
    </row>
    <row r="147">
      <c r="A147" s="56" t="inlineStr">
        <is>
          <t>HR005-600</t>
        </is>
      </c>
      <c r="B147" s="57" t="inlineStr">
        <is>
          <t>Media Campaign - Kroll Media Staff</t>
        </is>
      </c>
      <c r="C147" s="73" t="n"/>
      <c r="D147" s="132" t="n"/>
      <c r="E147" s="38">
        <f>ROUND(C147*D147,2)</f>
        <v/>
      </c>
      <c r="F147" s="60" t="n"/>
      <c r="G147" s="128">
        <f t="array" ref="G147">SUMPRODUCT(L147:EZ147,--(MOD(COLUMN(L147:EZ147),2)=0))</f>
        <v/>
      </c>
      <c r="H147" s="38">
        <f t="array" ref="H147">SUMPRODUCT(L147:EZ147,MOD(COLUMN(L147:EZ147),2))</f>
        <v/>
      </c>
      <c r="I147" s="133">
        <f>D147-G147</f>
        <v/>
      </c>
      <c r="J147" s="40">
        <f>ROUND(E147,2)-ROUND(H147,2)</f>
        <v/>
      </c>
      <c r="K147" s="116">
        <f>IF(J147=0,"",IF(J147&lt;0,"IMPORTANT:  Over budget - Needs review","Currently at or under budget"))</f>
        <v/>
      </c>
      <c r="L147" s="134" t="n"/>
      <c r="M147" s="40">
        <f>L147*$C147</f>
        <v/>
      </c>
      <c r="N147" s="134" t="n"/>
      <c r="O147" s="40">
        <f>N147*$C147</f>
        <v/>
      </c>
      <c r="P147" s="134" t="n"/>
      <c r="Q147" s="40">
        <f>P147*$C147</f>
        <v/>
      </c>
      <c r="R147" s="134" t="n"/>
      <c r="S147" s="40">
        <f>R147*$C147</f>
        <v/>
      </c>
      <c r="T147" s="134" t="n"/>
      <c r="U147" s="64">
        <f>T147*$C147</f>
        <v/>
      </c>
      <c r="V147" s="134" t="n"/>
      <c r="W147" s="38">
        <f>V147*$C147</f>
        <v/>
      </c>
      <c r="X147" s="134" t="n"/>
      <c r="Y147" s="38">
        <f>X147*$C147</f>
        <v/>
      </c>
      <c r="Z147" s="134" t="n"/>
      <c r="AA147" s="38">
        <f>Z147*$C147</f>
        <v/>
      </c>
      <c r="AB147" s="134" t="n"/>
      <c r="AC147" s="38">
        <f>AB147*$C147</f>
        <v/>
      </c>
      <c r="AD147" s="134" t="n"/>
      <c r="AE147" s="38">
        <f>AD147*$C147</f>
        <v/>
      </c>
      <c r="AF147" s="134" t="n"/>
      <c r="AG147" s="38">
        <f>AF147*$C147</f>
        <v/>
      </c>
      <c r="AH147" s="134" t="n"/>
      <c r="AI147" s="38">
        <f>AH147*$C147</f>
        <v/>
      </c>
      <c r="AJ147" s="134" t="n"/>
      <c r="AK147" s="38">
        <f>AJ147*$C147</f>
        <v/>
      </c>
      <c r="AL147" s="134" t="n"/>
      <c r="AM147" s="38">
        <f>AL147*$C147</f>
        <v/>
      </c>
      <c r="AN147" s="134" t="n"/>
      <c r="AO147" s="38">
        <f>AN147*$C147</f>
        <v/>
      </c>
      <c r="AP147" s="134" t="n"/>
      <c r="AQ147" s="38">
        <f>AP147*$C147</f>
        <v/>
      </c>
      <c r="AR147" s="134" t="n"/>
      <c r="AS147" s="38">
        <f>AR147*$C147</f>
        <v/>
      </c>
      <c r="AT147" s="134" t="n"/>
      <c r="AU147" s="38">
        <f>AT147*$C147</f>
        <v/>
      </c>
      <c r="AV147" s="134" t="n"/>
      <c r="AW147" s="38">
        <f>AV147*$C147</f>
        <v/>
      </c>
      <c r="AX147" s="134" t="n"/>
      <c r="AY147" s="38">
        <f>AX147*$C147</f>
        <v/>
      </c>
    </row>
    <row r="148">
      <c r="A148" s="56" t="inlineStr">
        <is>
          <t>HR006-100</t>
        </is>
      </c>
      <c r="B148" s="57" t="inlineStr">
        <is>
          <t>Process Opt-outs and Objections - Review and process opt-out forms received/Logging</t>
        </is>
      </c>
      <c r="C148" s="73" t="n">
        <v>75</v>
      </c>
      <c r="D148" s="132" t="n">
        <v>3</v>
      </c>
      <c r="E148" s="38">
        <f>ROUND(C148*D148,2)</f>
        <v/>
      </c>
      <c r="F148" s="60" t="n"/>
      <c r="G148" s="128">
        <f t="array" ref="G148">SUMPRODUCT(L148:EZ148,--(MOD(COLUMN(L148:EZ148),2)=0))</f>
        <v/>
      </c>
      <c r="H148" s="38">
        <f t="array" ref="H148">SUMPRODUCT(L148:EZ148,MOD(COLUMN(L148:EZ148),2))</f>
        <v/>
      </c>
      <c r="I148" s="133">
        <f>D148-G148</f>
        <v/>
      </c>
      <c r="J148" s="40">
        <f>ROUND(E148,2)-ROUND(H148,2)</f>
        <v/>
      </c>
      <c r="K148" s="116">
        <f>IF(J148=0,"",IF(J148&lt;0,"IMPORTANT:  Over budget - Needs review","Currently at or under budget"))</f>
        <v/>
      </c>
      <c r="L148" s="134" t="n"/>
      <c r="M148" s="40">
        <f>L148*$C148</f>
        <v/>
      </c>
      <c r="N148" s="134" t="n"/>
      <c r="O148" s="40">
        <f>N148*$C148</f>
        <v/>
      </c>
      <c r="P148" s="134" t="n"/>
      <c r="Q148" s="40">
        <f>P148*$C148</f>
        <v/>
      </c>
      <c r="R148" s="134" t="n"/>
      <c r="S148" s="40">
        <f>R148*$C148</f>
        <v/>
      </c>
      <c r="T148" s="134" t="n"/>
      <c r="U148" s="64">
        <f>T148*$C148</f>
        <v/>
      </c>
      <c r="V148" s="134" t="n"/>
      <c r="W148" s="38">
        <f>V148*$C148</f>
        <v/>
      </c>
      <c r="X148" s="134" t="n"/>
      <c r="Y148" s="38">
        <f>X148*$C148</f>
        <v/>
      </c>
      <c r="Z148" s="134" t="n"/>
      <c r="AA148" s="38">
        <f>Z148*$C148</f>
        <v/>
      </c>
      <c r="AB148" s="134" t="n"/>
      <c r="AC148" s="38">
        <f>AB148*$C148</f>
        <v/>
      </c>
      <c r="AD148" s="134" t="n"/>
      <c r="AE148" s="38">
        <f>AD148*$C148</f>
        <v/>
      </c>
      <c r="AF148" s="134" t="n"/>
      <c r="AG148" s="38">
        <f>AF148*$C148</f>
        <v/>
      </c>
      <c r="AH148" s="134" t="n"/>
      <c r="AI148" s="38">
        <f>AH148*$C148</f>
        <v/>
      </c>
      <c r="AJ148" s="134" t="n"/>
      <c r="AK148" s="38">
        <f>AJ148*$C148</f>
        <v/>
      </c>
      <c r="AL148" s="134" t="n"/>
      <c r="AM148" s="38">
        <f>AL148*$C148</f>
        <v/>
      </c>
      <c r="AN148" s="134" t="n"/>
      <c r="AO148" s="38">
        <f>AN148*$C148</f>
        <v/>
      </c>
      <c r="AP148" s="134" t="n"/>
      <c r="AQ148" s="38">
        <f>AP148*$C148</f>
        <v/>
      </c>
      <c r="AR148" s="134" t="n"/>
      <c r="AS148" s="38">
        <f>AR148*$C148</f>
        <v/>
      </c>
      <c r="AT148" s="134" t="n"/>
      <c r="AU148" s="38">
        <f>AT148*$C148</f>
        <v/>
      </c>
      <c r="AV148" s="134" t="n"/>
      <c r="AW148" s="38">
        <f>AV148*$C148</f>
        <v/>
      </c>
      <c r="AX148" s="134" t="n"/>
      <c r="AY148" s="38">
        <f>AX148*$C148</f>
        <v/>
      </c>
    </row>
    <row r="149">
      <c r="A149" s="56" t="inlineStr">
        <is>
          <t>HR006-500</t>
        </is>
      </c>
      <c r="B149" s="57" t="inlineStr">
        <is>
          <t>Process Opt-outs and Objections - Review and process objections received/Logging/Forwarding to Counsel</t>
        </is>
      </c>
      <c r="C149" s="73" t="n"/>
      <c r="D149" s="132" t="n"/>
      <c r="E149" s="38">
        <f>ROUND(C149*D149,2)</f>
        <v/>
      </c>
      <c r="F149" s="60" t="n"/>
      <c r="G149" s="128">
        <f t="array" ref="G149">SUMPRODUCT(L149:EZ149,--(MOD(COLUMN(L149:EZ149),2)=0))</f>
        <v/>
      </c>
      <c r="H149" s="38">
        <f t="array" ref="H149">SUMPRODUCT(L149:EZ149,MOD(COLUMN(L149:EZ149),2))</f>
        <v/>
      </c>
      <c r="I149" s="133">
        <f>D149-G149</f>
        <v/>
      </c>
      <c r="J149" s="40">
        <f>ROUND(E149,2)-ROUND(H149,2)</f>
        <v/>
      </c>
      <c r="K149" s="116">
        <f>IF(J149=0,"",IF(J149&lt;0,"IMPORTANT:  Over budget - Needs review","Currently at or under budget"))</f>
        <v/>
      </c>
      <c r="L149" s="134" t="n"/>
      <c r="M149" s="40">
        <f>L149*$C149</f>
        <v/>
      </c>
      <c r="N149" s="134" t="n"/>
      <c r="O149" s="40">
        <f>N149*$C149</f>
        <v/>
      </c>
      <c r="P149" s="134" t="n"/>
      <c r="Q149" s="40">
        <f>P149*$C149</f>
        <v/>
      </c>
      <c r="R149" s="134" t="n"/>
      <c r="S149" s="40">
        <f>R149*$C149</f>
        <v/>
      </c>
      <c r="T149" s="134" t="n"/>
      <c r="U149" s="64">
        <f>T149*$C149</f>
        <v/>
      </c>
      <c r="V149" s="134" t="n"/>
      <c r="W149" s="38">
        <f>V149*$C149</f>
        <v/>
      </c>
      <c r="X149" s="134" t="n"/>
      <c r="Y149" s="38">
        <f>X149*$C149</f>
        <v/>
      </c>
      <c r="Z149" s="134" t="n"/>
      <c r="AA149" s="38">
        <f>Z149*$C149</f>
        <v/>
      </c>
      <c r="AB149" s="134" t="n"/>
      <c r="AC149" s="38">
        <f>AB149*$C149</f>
        <v/>
      </c>
      <c r="AD149" s="134" t="n"/>
      <c r="AE149" s="38">
        <f>AD149*$C149</f>
        <v/>
      </c>
      <c r="AF149" s="134" t="n"/>
      <c r="AG149" s="38">
        <f>AF149*$C149</f>
        <v/>
      </c>
      <c r="AH149" s="134" t="n"/>
      <c r="AI149" s="38">
        <f>AH149*$C149</f>
        <v/>
      </c>
      <c r="AJ149" s="134" t="n"/>
      <c r="AK149" s="38">
        <f>AJ149*$C149</f>
        <v/>
      </c>
      <c r="AL149" s="134" t="n"/>
      <c r="AM149" s="38">
        <f>AL149*$C149</f>
        <v/>
      </c>
      <c r="AN149" s="134" t="n"/>
      <c r="AO149" s="38">
        <f>AN149*$C149</f>
        <v/>
      </c>
      <c r="AP149" s="134" t="n"/>
      <c r="AQ149" s="38">
        <f>AP149*$C149</f>
        <v/>
      </c>
      <c r="AR149" s="134" t="n"/>
      <c r="AS149" s="38">
        <f>AR149*$C149</f>
        <v/>
      </c>
      <c r="AT149" s="134" t="n"/>
      <c r="AU149" s="38">
        <f>AT149*$C149</f>
        <v/>
      </c>
      <c r="AV149" s="134" t="n"/>
      <c r="AW149" s="38">
        <f>AV149*$C149</f>
        <v/>
      </c>
      <c r="AX149" s="134" t="n"/>
      <c r="AY149" s="38">
        <f>AX149*$C149</f>
        <v/>
      </c>
    </row>
    <row r="150">
      <c r="A150" s="56" t="inlineStr">
        <is>
          <t>HR007-100</t>
        </is>
      </c>
      <c r="B150" s="57" t="inlineStr">
        <is>
          <t>Process Claim Forms/Deficiencies and Rejections - Data entry and processing claims</t>
        </is>
      </c>
      <c r="C150" s="73" t="n"/>
      <c r="D150" s="132" t="n"/>
      <c r="E150" s="38">
        <f>ROUND(C150*D150,2)</f>
        <v/>
      </c>
      <c r="F150" s="60" t="n"/>
      <c r="G150" s="128">
        <f t="array" ref="G150">SUMPRODUCT(L150:EZ150,--(MOD(COLUMN(L150:EZ150),2)=0))</f>
        <v/>
      </c>
      <c r="H150" s="38">
        <f t="array" ref="H150">SUMPRODUCT(L150:EZ150,MOD(COLUMN(L150:EZ150),2))</f>
        <v/>
      </c>
      <c r="I150" s="133">
        <f>D150-G150</f>
        <v/>
      </c>
      <c r="J150" s="40">
        <f>ROUND(E150,2)-ROUND(H150,2)</f>
        <v/>
      </c>
      <c r="K150" s="116">
        <f>IF(J150=0,"",IF(J150&lt;0,"IMPORTANT:  Over budget - Needs review","Currently at or under budget"))</f>
        <v/>
      </c>
      <c r="L150" s="134" t="n"/>
      <c r="M150" s="40">
        <f>L150*$C150</f>
        <v/>
      </c>
      <c r="N150" s="134" t="n"/>
      <c r="O150" s="40">
        <f>N150*$C150</f>
        <v/>
      </c>
      <c r="P150" s="134" t="n"/>
      <c r="Q150" s="40">
        <f>P150*$C150</f>
        <v/>
      </c>
      <c r="R150" s="134" t="n"/>
      <c r="S150" s="40">
        <f>R150*$C150</f>
        <v/>
      </c>
      <c r="T150" s="134" t="n"/>
      <c r="U150" s="64">
        <f>T150*$C150</f>
        <v/>
      </c>
      <c r="V150" s="134" t="n"/>
      <c r="W150" s="38">
        <f>V150*$C150</f>
        <v/>
      </c>
      <c r="X150" s="134" t="n"/>
      <c r="Y150" s="38">
        <f>X150*$C150</f>
        <v/>
      </c>
      <c r="Z150" s="134" t="n"/>
      <c r="AA150" s="38">
        <f>Z150*$C150</f>
        <v/>
      </c>
      <c r="AB150" s="134" t="n"/>
      <c r="AC150" s="38">
        <f>AB150*$C150</f>
        <v/>
      </c>
      <c r="AD150" s="134" t="n"/>
      <c r="AE150" s="38">
        <f>AD150*$C150</f>
        <v/>
      </c>
      <c r="AF150" s="134" t="n"/>
      <c r="AG150" s="38">
        <f>AF150*$C150</f>
        <v/>
      </c>
      <c r="AH150" s="134" t="n"/>
      <c r="AI150" s="38">
        <f>AH150*$C150</f>
        <v/>
      </c>
      <c r="AJ150" s="134" t="n"/>
      <c r="AK150" s="38">
        <f>AJ150*$C150</f>
        <v/>
      </c>
      <c r="AL150" s="134" t="n"/>
      <c r="AM150" s="38">
        <f>AL150*$C150</f>
        <v/>
      </c>
      <c r="AN150" s="134" t="n"/>
      <c r="AO150" s="38">
        <f>AN150*$C150</f>
        <v/>
      </c>
      <c r="AP150" s="134" t="n"/>
      <c r="AQ150" s="38">
        <f>AP150*$C150</f>
        <v/>
      </c>
      <c r="AR150" s="134" t="n"/>
      <c r="AS150" s="38">
        <f>AR150*$C150</f>
        <v/>
      </c>
      <c r="AT150" s="134" t="n"/>
      <c r="AU150" s="38">
        <f>AT150*$C150</f>
        <v/>
      </c>
      <c r="AV150" s="134" t="n"/>
      <c r="AW150" s="38">
        <f>AV150*$C150</f>
        <v/>
      </c>
      <c r="AX150" s="134" t="n"/>
      <c r="AY150" s="38">
        <f>AX150*$C150</f>
        <v/>
      </c>
    </row>
    <row r="151">
      <c r="A151" s="56" t="inlineStr">
        <is>
          <t>HR007-400</t>
        </is>
      </c>
      <c r="B151" s="57" t="inlineStr">
        <is>
          <t>Process Claim Forms/Deficiencies and Rejections - Plan of Allocation Development/Testing</t>
        </is>
      </c>
      <c r="C151" s="73" t="n"/>
      <c r="D151" s="132" t="n"/>
      <c r="E151" s="38">
        <f>ROUND(C151*D151,2)</f>
        <v/>
      </c>
      <c r="F151" s="60" t="n"/>
      <c r="G151" s="128">
        <f t="array" ref="G151">SUMPRODUCT(L151:EZ151,--(MOD(COLUMN(L151:EZ151),2)=0))</f>
        <v/>
      </c>
      <c r="H151" s="38">
        <f t="array" ref="H151">SUMPRODUCT(L151:EZ151,MOD(COLUMN(L151:EZ151),2))</f>
        <v/>
      </c>
      <c r="I151" s="133">
        <f>D151-G151</f>
        <v/>
      </c>
      <c r="J151" s="40">
        <f>ROUND(E151,2)-ROUND(H151,2)</f>
        <v/>
      </c>
      <c r="K151" s="116">
        <f>IF(J151=0,"",IF(J151&lt;0,"IMPORTANT:  Over budget - Needs review","Currently at or under budget"))</f>
        <v/>
      </c>
      <c r="L151" s="134" t="n"/>
      <c r="M151" s="40">
        <f>L151*$C151</f>
        <v/>
      </c>
      <c r="N151" s="134" t="n"/>
      <c r="O151" s="40">
        <f>N151*$C151</f>
        <v/>
      </c>
      <c r="P151" s="134" t="n"/>
      <c r="Q151" s="40">
        <f>P151*$C151</f>
        <v/>
      </c>
      <c r="R151" s="134" t="n"/>
      <c r="S151" s="40">
        <f>R151*$C151</f>
        <v/>
      </c>
      <c r="T151" s="134" t="n"/>
      <c r="U151" s="64">
        <f>T151*$C151</f>
        <v/>
      </c>
      <c r="V151" s="134" t="n"/>
      <c r="W151" s="38">
        <f>V151*$C151</f>
        <v/>
      </c>
      <c r="X151" s="134" t="n"/>
      <c r="Y151" s="38">
        <f>X151*$C151</f>
        <v/>
      </c>
      <c r="Z151" s="134" t="n"/>
      <c r="AA151" s="38">
        <f>Z151*$C151</f>
        <v/>
      </c>
      <c r="AB151" s="134" t="n"/>
      <c r="AC151" s="38">
        <f>AB151*$C151</f>
        <v/>
      </c>
      <c r="AD151" s="134" t="n"/>
      <c r="AE151" s="38">
        <f>AD151*$C151</f>
        <v/>
      </c>
      <c r="AF151" s="134" t="n"/>
      <c r="AG151" s="38">
        <f>AF151*$C151</f>
        <v/>
      </c>
      <c r="AH151" s="134" t="n"/>
      <c r="AI151" s="38">
        <f>AH151*$C151</f>
        <v/>
      </c>
      <c r="AJ151" s="134" t="n"/>
      <c r="AK151" s="38">
        <f>AJ151*$C151</f>
        <v/>
      </c>
      <c r="AL151" s="134" t="n"/>
      <c r="AM151" s="38">
        <f>AL151*$C151</f>
        <v/>
      </c>
      <c r="AN151" s="134" t="n"/>
      <c r="AO151" s="38">
        <f>AN151*$C151</f>
        <v/>
      </c>
      <c r="AP151" s="134" t="n"/>
      <c r="AQ151" s="38">
        <f>AP151*$C151</f>
        <v/>
      </c>
      <c r="AR151" s="134" t="n"/>
      <c r="AS151" s="38">
        <f>AR151*$C151</f>
        <v/>
      </c>
      <c r="AT151" s="134" t="n"/>
      <c r="AU151" s="38">
        <f>AT151*$C151</f>
        <v/>
      </c>
      <c r="AV151" s="134" t="n"/>
      <c r="AW151" s="38">
        <f>AV151*$C151</f>
        <v/>
      </c>
      <c r="AX151" s="134" t="n"/>
      <c r="AY151" s="38">
        <f>AX151*$C151</f>
        <v/>
      </c>
    </row>
    <row r="152">
      <c r="A152" s="56" t="inlineStr">
        <is>
          <t>HR007-500</t>
        </is>
      </c>
      <c r="B152" s="57" t="inlineStr">
        <is>
          <t>Process Claim Forms/Deficiencies and Rejections - Processing Paper Claim Forms</t>
        </is>
      </c>
      <c r="C152" s="73" t="n"/>
      <c r="D152" s="132" t="n"/>
      <c r="E152" s="38">
        <f>ROUND(C152*D152,2)</f>
        <v/>
      </c>
      <c r="F152" s="60" t="n"/>
      <c r="G152" s="128">
        <f t="array" ref="G152">SUMPRODUCT(L152:EZ152,--(MOD(COLUMN(L152:EZ152),2)=0))</f>
        <v/>
      </c>
      <c r="H152" s="38">
        <f t="array" ref="H152">SUMPRODUCT(L152:EZ152,MOD(COLUMN(L152:EZ152),2))</f>
        <v/>
      </c>
      <c r="I152" s="133">
        <f>D152-G152</f>
        <v/>
      </c>
      <c r="J152" s="40">
        <f>ROUND(E152,2)-ROUND(H152,2)</f>
        <v/>
      </c>
      <c r="K152" s="116">
        <f>IF(J152=0,"",IF(J152&lt;0,"IMPORTANT:  Over budget - Needs review","Currently at or under budget"))</f>
        <v/>
      </c>
      <c r="L152" s="134" t="n"/>
      <c r="M152" s="40">
        <f>L152*$C152</f>
        <v/>
      </c>
      <c r="N152" s="134" t="n"/>
      <c r="O152" s="40">
        <f>N152*$C152</f>
        <v/>
      </c>
      <c r="P152" s="134" t="n"/>
      <c r="Q152" s="40">
        <f>P152*$C152</f>
        <v/>
      </c>
      <c r="R152" s="134" t="n"/>
      <c r="S152" s="40">
        <f>R152*$C152</f>
        <v/>
      </c>
      <c r="T152" s="134" t="n"/>
      <c r="U152" s="64">
        <f>T152*$C152</f>
        <v/>
      </c>
      <c r="V152" s="134" t="n"/>
      <c r="W152" s="38">
        <f>V152*$C152</f>
        <v/>
      </c>
      <c r="X152" s="134" t="n"/>
      <c r="Y152" s="38">
        <f>X152*$C152</f>
        <v/>
      </c>
      <c r="Z152" s="134" t="n"/>
      <c r="AA152" s="38">
        <f>Z152*$C152</f>
        <v/>
      </c>
      <c r="AB152" s="134" t="n"/>
      <c r="AC152" s="38">
        <f>AB152*$C152</f>
        <v/>
      </c>
      <c r="AD152" s="134" t="n"/>
      <c r="AE152" s="38">
        <f>AD152*$C152</f>
        <v/>
      </c>
      <c r="AF152" s="134" t="n"/>
      <c r="AG152" s="38">
        <f>AF152*$C152</f>
        <v/>
      </c>
      <c r="AH152" s="134" t="n"/>
      <c r="AI152" s="38">
        <f>AH152*$C152</f>
        <v/>
      </c>
      <c r="AJ152" s="134" t="n"/>
      <c r="AK152" s="38">
        <f>AJ152*$C152</f>
        <v/>
      </c>
      <c r="AL152" s="134" t="n"/>
      <c r="AM152" s="38">
        <f>AL152*$C152</f>
        <v/>
      </c>
      <c r="AN152" s="134" t="n"/>
      <c r="AO152" s="38">
        <f>AN152*$C152</f>
        <v/>
      </c>
      <c r="AP152" s="134" t="n"/>
      <c r="AQ152" s="38">
        <f>AP152*$C152</f>
        <v/>
      </c>
      <c r="AR152" s="134" t="n"/>
      <c r="AS152" s="38">
        <f>AR152*$C152</f>
        <v/>
      </c>
      <c r="AT152" s="134" t="n"/>
      <c r="AU152" s="38">
        <f>AT152*$C152</f>
        <v/>
      </c>
      <c r="AV152" s="134" t="n"/>
      <c r="AW152" s="38">
        <f>AV152*$C152</f>
        <v/>
      </c>
      <c r="AX152" s="134" t="n"/>
      <c r="AY152" s="38">
        <f>AX152*$C152</f>
        <v/>
      </c>
    </row>
    <row r="153">
      <c r="A153" s="56" t="inlineStr">
        <is>
          <t>HR007-600</t>
        </is>
      </c>
      <c r="B153" s="57" t="inlineStr">
        <is>
          <t>Process Claim Forms/Deficiencies and Rejections - Processing Electronic Claim Files</t>
        </is>
      </c>
      <c r="C153" s="73" t="n"/>
      <c r="D153" s="132" t="n"/>
      <c r="E153" s="38">
        <f>ROUND(C153*D153,2)</f>
        <v/>
      </c>
      <c r="F153" s="60" t="n"/>
      <c r="G153" s="128">
        <f t="array" ref="G153">SUMPRODUCT(L153:EZ153,--(MOD(COLUMN(L153:EZ153),2)=0))</f>
        <v/>
      </c>
      <c r="H153" s="38">
        <f t="array" ref="H153">SUMPRODUCT(L153:EZ153,MOD(COLUMN(L153:EZ153),2))</f>
        <v/>
      </c>
      <c r="I153" s="133">
        <f>D153-G153</f>
        <v/>
      </c>
      <c r="J153" s="40">
        <f>ROUND(E153,2)-ROUND(H153,2)</f>
        <v/>
      </c>
      <c r="K153" s="116">
        <f>IF(J153=0,"",IF(J153&lt;0,"IMPORTANT:  Over budget - Needs review","Currently at or under budget"))</f>
        <v/>
      </c>
      <c r="L153" s="134" t="n"/>
      <c r="M153" s="40">
        <f>L153*$C153</f>
        <v/>
      </c>
      <c r="N153" s="134" t="n"/>
      <c r="O153" s="40">
        <f>N153*$C153</f>
        <v/>
      </c>
      <c r="P153" s="134" t="n"/>
      <c r="Q153" s="40">
        <f>P153*$C153</f>
        <v/>
      </c>
      <c r="R153" s="134" t="n"/>
      <c r="S153" s="40">
        <f>R153*$C153</f>
        <v/>
      </c>
      <c r="T153" s="134" t="n"/>
      <c r="U153" s="64">
        <f>T153*$C153</f>
        <v/>
      </c>
      <c r="V153" s="134" t="n"/>
      <c r="W153" s="38">
        <f>V153*$C153</f>
        <v/>
      </c>
      <c r="X153" s="134" t="n"/>
      <c r="Y153" s="38">
        <f>X153*$C153</f>
        <v/>
      </c>
      <c r="Z153" s="134" t="n"/>
      <c r="AA153" s="38">
        <f>Z153*$C153</f>
        <v/>
      </c>
      <c r="AB153" s="134" t="n"/>
      <c r="AC153" s="38">
        <f>AB153*$C153</f>
        <v/>
      </c>
      <c r="AD153" s="134" t="n"/>
      <c r="AE153" s="38">
        <f>AD153*$C153</f>
        <v/>
      </c>
      <c r="AF153" s="134" t="n"/>
      <c r="AG153" s="38">
        <f>AF153*$C153</f>
        <v/>
      </c>
      <c r="AH153" s="134" t="n"/>
      <c r="AI153" s="38">
        <f>AH153*$C153</f>
        <v/>
      </c>
      <c r="AJ153" s="134" t="n"/>
      <c r="AK153" s="38">
        <f>AJ153*$C153</f>
        <v/>
      </c>
      <c r="AL153" s="134" t="n"/>
      <c r="AM153" s="38">
        <f>AL153*$C153</f>
        <v/>
      </c>
      <c r="AN153" s="134" t="n"/>
      <c r="AO153" s="38">
        <f>AN153*$C153</f>
        <v/>
      </c>
      <c r="AP153" s="134" t="n"/>
      <c r="AQ153" s="38">
        <f>AP153*$C153</f>
        <v/>
      </c>
      <c r="AR153" s="134" t="n"/>
      <c r="AS153" s="38">
        <f>AR153*$C153</f>
        <v/>
      </c>
      <c r="AT153" s="134" t="n"/>
      <c r="AU153" s="38">
        <f>AT153*$C153</f>
        <v/>
      </c>
      <c r="AV153" s="134" t="n"/>
      <c r="AW153" s="38">
        <f>AV153*$C153</f>
        <v/>
      </c>
      <c r="AX153" s="134" t="n"/>
      <c r="AY153" s="38">
        <f>AX153*$C153</f>
        <v/>
      </c>
    </row>
    <row r="154">
      <c r="A154" s="56" t="inlineStr">
        <is>
          <t>HR007-700</t>
        </is>
      </c>
      <c r="B154" s="57" t="inlineStr">
        <is>
          <t>Process Claim Forms/Deficiencies and Rejections - Processing Web Claims</t>
        </is>
      </c>
      <c r="C154" s="73" t="n"/>
      <c r="D154" s="132" t="n"/>
      <c r="E154" s="38">
        <f>ROUND(C154*D154,2)</f>
        <v/>
      </c>
      <c r="F154" s="60" t="n"/>
      <c r="G154" s="128">
        <f t="array" ref="G154">SUMPRODUCT(L154:EZ154,--(MOD(COLUMN(L154:EZ154),2)=0))</f>
        <v/>
      </c>
      <c r="H154" s="38">
        <f t="array" ref="H154">SUMPRODUCT(L154:EZ154,MOD(COLUMN(L154:EZ154),2))</f>
        <v/>
      </c>
      <c r="I154" s="133">
        <f>D154-G154</f>
        <v/>
      </c>
      <c r="J154" s="40">
        <f>ROUND(E154,2)-ROUND(H154,2)</f>
        <v/>
      </c>
      <c r="K154" s="116">
        <f>IF(J154=0,"",IF(J154&lt;0,"IMPORTANT:  Over budget - Needs review","Currently at or under budget"))</f>
        <v/>
      </c>
      <c r="L154" s="134" t="n"/>
      <c r="M154" s="40">
        <f>L154*$C154</f>
        <v/>
      </c>
      <c r="N154" s="134" t="n"/>
      <c r="O154" s="40">
        <f>N154*$C154</f>
        <v/>
      </c>
      <c r="P154" s="134" t="n"/>
      <c r="Q154" s="40">
        <f>P154*$C154</f>
        <v/>
      </c>
      <c r="R154" s="134" t="n"/>
      <c r="S154" s="40">
        <f>R154*$C154</f>
        <v/>
      </c>
      <c r="T154" s="134" t="n"/>
      <c r="U154" s="64">
        <f>T154*$C154</f>
        <v/>
      </c>
      <c r="V154" s="134" t="n"/>
      <c r="W154" s="38">
        <f>V154*$C154</f>
        <v/>
      </c>
      <c r="X154" s="134" t="n"/>
      <c r="Y154" s="38">
        <f>X154*$C154</f>
        <v/>
      </c>
      <c r="Z154" s="134" t="n"/>
      <c r="AA154" s="38">
        <f>Z154*$C154</f>
        <v/>
      </c>
      <c r="AB154" s="134" t="n"/>
      <c r="AC154" s="38">
        <f>AB154*$C154</f>
        <v/>
      </c>
      <c r="AD154" s="134" t="n"/>
      <c r="AE154" s="38">
        <f>AD154*$C154</f>
        <v/>
      </c>
      <c r="AF154" s="134" t="n"/>
      <c r="AG154" s="38">
        <f>AF154*$C154</f>
        <v/>
      </c>
      <c r="AH154" s="134" t="n"/>
      <c r="AI154" s="38">
        <f>AH154*$C154</f>
        <v/>
      </c>
      <c r="AJ154" s="134" t="n"/>
      <c r="AK154" s="38">
        <f>AJ154*$C154</f>
        <v/>
      </c>
      <c r="AL154" s="134" t="n"/>
      <c r="AM154" s="38">
        <f>AL154*$C154</f>
        <v/>
      </c>
      <c r="AN154" s="134" t="n"/>
      <c r="AO154" s="38">
        <f>AN154*$C154</f>
        <v/>
      </c>
      <c r="AP154" s="134" t="n"/>
      <c r="AQ154" s="38">
        <f>AP154*$C154</f>
        <v/>
      </c>
      <c r="AR154" s="134" t="n"/>
      <c r="AS154" s="38">
        <f>AR154*$C154</f>
        <v/>
      </c>
      <c r="AT154" s="134" t="n"/>
      <c r="AU154" s="38">
        <f>AT154*$C154</f>
        <v/>
      </c>
      <c r="AV154" s="134" t="n"/>
      <c r="AW154" s="38">
        <f>AV154*$C154</f>
        <v/>
      </c>
      <c r="AX154" s="134" t="n"/>
      <c r="AY154" s="38">
        <f>AX154*$C154</f>
        <v/>
      </c>
    </row>
    <row r="155">
      <c r="A155" s="56" t="inlineStr">
        <is>
          <t>HR008-100</t>
        </is>
      </c>
      <c r="B155" s="57" t="inlineStr">
        <is>
          <t>Dispute Resolutions/Validation of Claims - Review of claims filed</t>
        </is>
      </c>
      <c r="C155" s="73" t="n">
        <v>100</v>
      </c>
      <c r="D155" s="132" t="n">
        <v>15</v>
      </c>
      <c r="E155" s="38">
        <f>ROUND(C155*D155,2)</f>
        <v/>
      </c>
      <c r="F155" s="60" t="n"/>
      <c r="G155" s="128">
        <f t="array" ref="G155">SUMPRODUCT(L155:EZ155,--(MOD(COLUMN(L155:EZ155),2)=0))</f>
        <v/>
      </c>
      <c r="H155" s="38">
        <f t="array" ref="H155">SUMPRODUCT(L155:EZ155,MOD(COLUMN(L155:EZ155),2))</f>
        <v/>
      </c>
      <c r="I155" s="133">
        <f>D155-G155</f>
        <v/>
      </c>
      <c r="J155" s="40">
        <f>ROUND(E155,2)-ROUND(H155,2)</f>
        <v/>
      </c>
      <c r="K155" s="116">
        <f>IF(J155=0,"",IF(J155&lt;0,"IMPORTANT:  Over budget - Needs review","Currently at or under budget"))</f>
        <v/>
      </c>
      <c r="L155" s="134" t="n"/>
      <c r="M155" s="40">
        <f>L155*$C155</f>
        <v/>
      </c>
      <c r="N155" s="134" t="n"/>
      <c r="O155" s="40">
        <f>N155*$C155</f>
        <v/>
      </c>
      <c r="P155" s="134" t="n"/>
      <c r="Q155" s="40">
        <f>P155*$C155</f>
        <v/>
      </c>
      <c r="R155" s="134" t="n"/>
      <c r="S155" s="40">
        <f>R155*$C155</f>
        <v/>
      </c>
      <c r="T155" s="134" t="n"/>
      <c r="U155" s="64">
        <f>T155*$C155</f>
        <v/>
      </c>
      <c r="V155" s="134" t="n"/>
      <c r="W155" s="38">
        <f>V155*$C155</f>
        <v/>
      </c>
      <c r="X155" s="134" t="n"/>
      <c r="Y155" s="38">
        <f>X155*$C155</f>
        <v/>
      </c>
      <c r="Z155" s="134" t="n"/>
      <c r="AA155" s="38">
        <f>Z155*$C155</f>
        <v/>
      </c>
      <c r="AB155" s="134" t="n"/>
      <c r="AC155" s="38">
        <f>AB155*$C155</f>
        <v/>
      </c>
      <c r="AD155" s="134" t="n"/>
      <c r="AE155" s="38">
        <f>AD155*$C155</f>
        <v/>
      </c>
      <c r="AF155" s="134" t="n"/>
      <c r="AG155" s="38">
        <f>AF155*$C155</f>
        <v/>
      </c>
      <c r="AH155" s="134" t="n"/>
      <c r="AI155" s="38">
        <f>AH155*$C155</f>
        <v/>
      </c>
      <c r="AJ155" s="134" t="n"/>
      <c r="AK155" s="38">
        <f>AJ155*$C155</f>
        <v/>
      </c>
      <c r="AL155" s="134" t="n"/>
      <c r="AM155" s="38">
        <f>AL155*$C155</f>
        <v/>
      </c>
      <c r="AN155" s="134" t="n"/>
      <c r="AO155" s="38">
        <f>AN155*$C155</f>
        <v/>
      </c>
      <c r="AP155" s="134" t="n"/>
      <c r="AQ155" s="38">
        <f>AP155*$C155</f>
        <v/>
      </c>
      <c r="AR155" s="134" t="n"/>
      <c r="AS155" s="38">
        <f>AR155*$C155</f>
        <v/>
      </c>
      <c r="AT155" s="134" t="n"/>
      <c r="AU155" s="38">
        <f>AT155*$C155</f>
        <v/>
      </c>
      <c r="AV155" s="134" t="n"/>
      <c r="AW155" s="38">
        <f>AV155*$C155</f>
        <v/>
      </c>
      <c r="AX155" s="134" t="n"/>
      <c r="AY155" s="38">
        <f>AX155*$C155</f>
        <v/>
      </c>
    </row>
    <row r="156">
      <c r="A156" s="56" t="inlineStr">
        <is>
          <t>HR008-200</t>
        </is>
      </c>
      <c r="B156" s="57" t="inlineStr">
        <is>
          <t>Dispute Resolutions/Validation of Claims - Validation of submitted claims to database</t>
        </is>
      </c>
      <c r="C156" s="73" t="n"/>
      <c r="D156" s="132" t="n"/>
      <c r="E156" s="38">
        <f>ROUND(C156*D156,2)</f>
        <v/>
      </c>
      <c r="F156" s="60" t="n"/>
      <c r="G156" s="128">
        <f t="array" ref="G156">SUMPRODUCT(L156:EZ156,--(MOD(COLUMN(L156:EZ156),2)=0))</f>
        <v/>
      </c>
      <c r="H156" s="38">
        <f t="array" ref="H156">SUMPRODUCT(L156:EZ156,MOD(COLUMN(L156:EZ156),2))</f>
        <v/>
      </c>
      <c r="I156" s="133">
        <f>D156-G156</f>
        <v/>
      </c>
      <c r="J156" s="40">
        <f>ROUND(E156,2)-ROUND(H156,2)</f>
        <v/>
      </c>
      <c r="K156" s="116">
        <f>IF(J156=0,"",IF(J156&lt;0,"IMPORTANT:  Over budget - Needs review","Currently at or under budget"))</f>
        <v/>
      </c>
      <c r="L156" s="134" t="n"/>
      <c r="M156" s="40">
        <f>L156*$C156</f>
        <v/>
      </c>
      <c r="N156" s="134" t="n"/>
      <c r="O156" s="40">
        <f>N156*$C156</f>
        <v/>
      </c>
      <c r="P156" s="134" t="n"/>
      <c r="Q156" s="40">
        <f>P156*$C156</f>
        <v/>
      </c>
      <c r="R156" s="134" t="n"/>
      <c r="S156" s="40">
        <f>R156*$C156</f>
        <v/>
      </c>
      <c r="T156" s="134" t="n"/>
      <c r="U156" s="64">
        <f>T156*$C156</f>
        <v/>
      </c>
      <c r="V156" s="134" t="n"/>
      <c r="W156" s="38">
        <f>V156*$C156</f>
        <v/>
      </c>
      <c r="X156" s="134" t="n"/>
      <c r="Y156" s="38">
        <f>X156*$C156</f>
        <v/>
      </c>
      <c r="Z156" s="134" t="n"/>
      <c r="AA156" s="38">
        <f>Z156*$C156</f>
        <v/>
      </c>
      <c r="AB156" s="134" t="n"/>
      <c r="AC156" s="38">
        <f>AB156*$C156</f>
        <v/>
      </c>
      <c r="AD156" s="134" t="n"/>
      <c r="AE156" s="38">
        <f>AD156*$C156</f>
        <v/>
      </c>
      <c r="AF156" s="134" t="n"/>
      <c r="AG156" s="38">
        <f>AF156*$C156</f>
        <v/>
      </c>
      <c r="AH156" s="134" t="n"/>
      <c r="AI156" s="38">
        <f>AH156*$C156</f>
        <v/>
      </c>
      <c r="AJ156" s="134" t="n"/>
      <c r="AK156" s="38">
        <f>AJ156*$C156</f>
        <v/>
      </c>
      <c r="AL156" s="134" t="n"/>
      <c r="AM156" s="38">
        <f>AL156*$C156</f>
        <v/>
      </c>
      <c r="AN156" s="134" t="n"/>
      <c r="AO156" s="38">
        <f>AN156*$C156</f>
        <v/>
      </c>
      <c r="AP156" s="134" t="n"/>
      <c r="AQ156" s="38">
        <f>AP156*$C156</f>
        <v/>
      </c>
      <c r="AR156" s="134" t="n"/>
      <c r="AS156" s="38">
        <f>AR156*$C156</f>
        <v/>
      </c>
      <c r="AT156" s="134" t="n"/>
      <c r="AU156" s="38">
        <f>AT156*$C156</f>
        <v/>
      </c>
      <c r="AV156" s="134" t="n"/>
      <c r="AW156" s="38">
        <f>AV156*$C156</f>
        <v/>
      </c>
      <c r="AX156" s="134" t="n"/>
      <c r="AY156" s="38">
        <f>AX156*$C156</f>
        <v/>
      </c>
    </row>
    <row r="157">
      <c r="A157" s="56" t="inlineStr">
        <is>
          <t>HR008-300</t>
        </is>
      </c>
      <c r="B157" s="57" t="inlineStr">
        <is>
          <t>Dispute Resolutions/Validation of Claims - Top claims review</t>
        </is>
      </c>
      <c r="C157" s="73" t="n"/>
      <c r="D157" s="132" t="n"/>
      <c r="E157" s="38">
        <f>ROUND(C157*D157,2)</f>
        <v/>
      </c>
      <c r="F157" s="60" t="n"/>
      <c r="G157" s="128">
        <f t="array" ref="G157">SUMPRODUCT(L157:EZ157,--(MOD(COLUMN(L157:EZ157),2)=0))</f>
        <v/>
      </c>
      <c r="H157" s="38">
        <f t="array" ref="H157">SUMPRODUCT(L157:EZ157,MOD(COLUMN(L157:EZ157),2))</f>
        <v/>
      </c>
      <c r="I157" s="133">
        <f>D157-G157</f>
        <v/>
      </c>
      <c r="J157" s="40">
        <f>ROUND(E157,2)-ROUND(H157,2)</f>
        <v/>
      </c>
      <c r="K157" s="116">
        <f>IF(J157=0,"",IF(J157&lt;0,"IMPORTANT:  Over budget - Needs review","Currently at or under budget"))</f>
        <v/>
      </c>
      <c r="L157" s="134" t="n"/>
      <c r="M157" s="40">
        <f>L157*$C157</f>
        <v/>
      </c>
      <c r="N157" s="134" t="n"/>
      <c r="O157" s="40">
        <f>N157*$C157</f>
        <v/>
      </c>
      <c r="P157" s="134" t="n"/>
      <c r="Q157" s="40">
        <f>P157*$C157</f>
        <v/>
      </c>
      <c r="R157" s="134" t="n"/>
      <c r="S157" s="40">
        <f>R157*$C157</f>
        <v/>
      </c>
      <c r="T157" s="134" t="n"/>
      <c r="U157" s="64">
        <f>T157*$C157</f>
        <v/>
      </c>
      <c r="V157" s="134" t="n"/>
      <c r="W157" s="38">
        <f>V157*$C157</f>
        <v/>
      </c>
      <c r="X157" s="134" t="n"/>
      <c r="Y157" s="38">
        <f>X157*$C157</f>
        <v/>
      </c>
      <c r="Z157" s="134" t="n"/>
      <c r="AA157" s="38">
        <f>Z157*$C157</f>
        <v/>
      </c>
      <c r="AB157" s="134" t="n"/>
      <c r="AC157" s="38">
        <f>AB157*$C157</f>
        <v/>
      </c>
      <c r="AD157" s="134" t="n"/>
      <c r="AE157" s="38">
        <f>AD157*$C157</f>
        <v/>
      </c>
      <c r="AF157" s="134" t="n"/>
      <c r="AG157" s="38">
        <f>AF157*$C157</f>
        <v/>
      </c>
      <c r="AH157" s="134" t="n"/>
      <c r="AI157" s="38">
        <f>AH157*$C157</f>
        <v/>
      </c>
      <c r="AJ157" s="134" t="n"/>
      <c r="AK157" s="38">
        <f>AJ157*$C157</f>
        <v/>
      </c>
      <c r="AL157" s="134" t="n"/>
      <c r="AM157" s="38">
        <f>AL157*$C157</f>
        <v/>
      </c>
      <c r="AN157" s="134" t="n"/>
      <c r="AO157" s="38">
        <f>AN157*$C157</f>
        <v/>
      </c>
      <c r="AP157" s="134" t="n"/>
      <c r="AQ157" s="38">
        <f>AP157*$C157</f>
        <v/>
      </c>
      <c r="AR157" s="134" t="n"/>
      <c r="AS157" s="38">
        <f>AR157*$C157</f>
        <v/>
      </c>
      <c r="AT157" s="134" t="n"/>
      <c r="AU157" s="38">
        <f>AT157*$C157</f>
        <v/>
      </c>
      <c r="AV157" s="134" t="n"/>
      <c r="AW157" s="38">
        <f>AV157*$C157</f>
        <v/>
      </c>
      <c r="AX157" s="134" t="n"/>
      <c r="AY157" s="38">
        <f>AX157*$C157</f>
        <v/>
      </c>
    </row>
    <row r="158">
      <c r="A158" s="56" t="inlineStr">
        <is>
          <t>HR008-400</t>
        </is>
      </c>
      <c r="B158" s="57" t="inlineStr">
        <is>
          <t>Dispute Resolutions/Validation of Claims - Project team deficiency/dispute response processing</t>
        </is>
      </c>
      <c r="C158" s="73" t="n"/>
      <c r="D158" s="132" t="n"/>
      <c r="E158" s="38">
        <f>ROUND(C158*D158,2)</f>
        <v/>
      </c>
      <c r="F158" s="60" t="n"/>
      <c r="G158" s="128">
        <f t="array" ref="G158">SUMPRODUCT(L158:EZ158,--(MOD(COLUMN(L158:EZ158),2)=0))</f>
        <v/>
      </c>
      <c r="H158" s="38">
        <f t="array" ref="H158">SUMPRODUCT(L158:EZ158,MOD(COLUMN(L158:EZ158),2))</f>
        <v/>
      </c>
      <c r="I158" s="133">
        <f>D158-G158</f>
        <v/>
      </c>
      <c r="J158" s="40">
        <f>ROUND(E158,2)-ROUND(H158,2)</f>
        <v/>
      </c>
      <c r="K158" s="116">
        <f>IF(J158=0,"",IF(J158&lt;0,"IMPORTANT:  Over budget - Needs review","Currently at or under budget"))</f>
        <v/>
      </c>
      <c r="L158" s="134" t="n"/>
      <c r="M158" s="40">
        <f>L158*$C158</f>
        <v/>
      </c>
      <c r="N158" s="134" t="n"/>
      <c r="O158" s="40">
        <f>N158*$C158</f>
        <v/>
      </c>
      <c r="P158" s="134" t="n"/>
      <c r="Q158" s="40">
        <f>P158*$C158</f>
        <v/>
      </c>
      <c r="R158" s="134" t="n"/>
      <c r="S158" s="40">
        <f>R158*$C158</f>
        <v/>
      </c>
      <c r="T158" s="134" t="n"/>
      <c r="U158" s="64">
        <f>T158*$C158</f>
        <v/>
      </c>
      <c r="V158" s="134" t="n"/>
      <c r="W158" s="38">
        <f>V158*$C158</f>
        <v/>
      </c>
      <c r="X158" s="134" t="n"/>
      <c r="Y158" s="38">
        <f>X158*$C158</f>
        <v/>
      </c>
      <c r="Z158" s="134" t="n"/>
      <c r="AA158" s="38">
        <f>Z158*$C158</f>
        <v/>
      </c>
      <c r="AB158" s="134" t="n"/>
      <c r="AC158" s="38">
        <f>AB158*$C158</f>
        <v/>
      </c>
      <c r="AD158" s="134" t="n"/>
      <c r="AE158" s="38">
        <f>AD158*$C158</f>
        <v/>
      </c>
      <c r="AF158" s="134" t="n"/>
      <c r="AG158" s="38">
        <f>AF158*$C158</f>
        <v/>
      </c>
      <c r="AH158" s="134" t="n"/>
      <c r="AI158" s="38">
        <f>AH158*$C158</f>
        <v/>
      </c>
      <c r="AJ158" s="134" t="n"/>
      <c r="AK158" s="38">
        <f>AJ158*$C158</f>
        <v/>
      </c>
      <c r="AL158" s="134" t="n"/>
      <c r="AM158" s="38">
        <f>AL158*$C158</f>
        <v/>
      </c>
      <c r="AN158" s="134" t="n"/>
      <c r="AO158" s="38">
        <f>AN158*$C158</f>
        <v/>
      </c>
      <c r="AP158" s="134" t="n"/>
      <c r="AQ158" s="38">
        <f>AP158*$C158</f>
        <v/>
      </c>
      <c r="AR158" s="134" t="n"/>
      <c r="AS158" s="38">
        <f>AR158*$C158</f>
        <v/>
      </c>
      <c r="AT158" s="134" t="n"/>
      <c r="AU158" s="38">
        <f>AT158*$C158</f>
        <v/>
      </c>
      <c r="AV158" s="134" t="n"/>
      <c r="AW158" s="38">
        <f>AV158*$C158</f>
        <v/>
      </c>
      <c r="AX158" s="134" t="n"/>
      <c r="AY158" s="38">
        <f>AX158*$C158</f>
        <v/>
      </c>
    </row>
    <row r="159">
      <c r="A159" s="56" t="inlineStr">
        <is>
          <t>HR008-500</t>
        </is>
      </c>
      <c r="B159" s="57" t="inlineStr">
        <is>
          <t>Dispute Resolutions/Validation of Claims - Audits and Rejection Assignment</t>
        </is>
      </c>
      <c r="C159" s="73" t="n"/>
      <c r="D159" s="132" t="n"/>
      <c r="E159" s="38">
        <f>ROUND(C159*D159,2)</f>
        <v/>
      </c>
      <c r="F159" s="60" t="n"/>
      <c r="G159" s="128">
        <f t="array" ref="G159">SUMPRODUCT(L159:EZ159,--(MOD(COLUMN(L159:EZ159),2)=0))</f>
        <v/>
      </c>
      <c r="H159" s="38">
        <f t="array" ref="H159">SUMPRODUCT(L159:EZ159,MOD(COLUMN(L159:EZ159),2))</f>
        <v/>
      </c>
      <c r="I159" s="133">
        <f>D159-G159</f>
        <v/>
      </c>
      <c r="J159" s="40">
        <f>ROUND(E159,2)-ROUND(H159,2)</f>
        <v/>
      </c>
      <c r="K159" s="116">
        <f>IF(J159=0,"",IF(J159&lt;0,"IMPORTANT:  Over budget - Needs review","Currently at or under budget"))</f>
        <v/>
      </c>
      <c r="L159" s="134" t="n"/>
      <c r="M159" s="40">
        <f>L159*$C159</f>
        <v/>
      </c>
      <c r="N159" s="134" t="n"/>
      <c r="O159" s="40">
        <f>N159*$C159</f>
        <v/>
      </c>
      <c r="P159" s="134" t="n"/>
      <c r="Q159" s="40">
        <f>P159*$C159</f>
        <v/>
      </c>
      <c r="R159" s="134" t="n"/>
      <c r="S159" s="40">
        <f>R159*$C159</f>
        <v/>
      </c>
      <c r="T159" s="134" t="n"/>
      <c r="U159" s="64">
        <f>T159*$C159</f>
        <v/>
      </c>
      <c r="V159" s="134" t="n"/>
      <c r="W159" s="38">
        <f>V159*$C159</f>
        <v/>
      </c>
      <c r="X159" s="134" t="n"/>
      <c r="Y159" s="38">
        <f>X159*$C159</f>
        <v/>
      </c>
      <c r="Z159" s="134" t="n"/>
      <c r="AA159" s="38">
        <f>Z159*$C159</f>
        <v/>
      </c>
      <c r="AB159" s="134" t="n"/>
      <c r="AC159" s="38">
        <f>AB159*$C159</f>
        <v/>
      </c>
      <c r="AD159" s="134" t="n"/>
      <c r="AE159" s="38">
        <f>AD159*$C159</f>
        <v/>
      </c>
      <c r="AF159" s="134" t="n"/>
      <c r="AG159" s="38">
        <f>AF159*$C159</f>
        <v/>
      </c>
      <c r="AH159" s="134" t="n"/>
      <c r="AI159" s="38">
        <f>AH159*$C159</f>
        <v/>
      </c>
      <c r="AJ159" s="134" t="n"/>
      <c r="AK159" s="38">
        <f>AJ159*$C159</f>
        <v/>
      </c>
      <c r="AL159" s="134" t="n"/>
      <c r="AM159" s="38">
        <f>AL159*$C159</f>
        <v/>
      </c>
      <c r="AN159" s="134" t="n"/>
      <c r="AO159" s="38">
        <f>AN159*$C159</f>
        <v/>
      </c>
      <c r="AP159" s="134" t="n"/>
      <c r="AQ159" s="38">
        <f>AP159*$C159</f>
        <v/>
      </c>
      <c r="AR159" s="134" t="n"/>
      <c r="AS159" s="38">
        <f>AR159*$C159</f>
        <v/>
      </c>
      <c r="AT159" s="134" t="n"/>
      <c r="AU159" s="38">
        <f>AT159*$C159</f>
        <v/>
      </c>
      <c r="AV159" s="134" t="n"/>
      <c r="AW159" s="38">
        <f>AV159*$C159</f>
        <v/>
      </c>
      <c r="AX159" s="134" t="n"/>
      <c r="AY159" s="38">
        <f>AX159*$C159</f>
        <v/>
      </c>
    </row>
    <row r="160">
      <c r="A160" s="56" t="inlineStr">
        <is>
          <t>HR008-600</t>
        </is>
      </c>
      <c r="B160" s="57" t="inlineStr">
        <is>
          <t>Dispute Resolutions/Validation of Claims - Generating Final Reports</t>
        </is>
      </c>
      <c r="C160" s="73" t="n"/>
      <c r="D160" s="132" t="n"/>
      <c r="E160" s="38">
        <f>ROUND(C160*D160,2)</f>
        <v/>
      </c>
      <c r="F160" s="60" t="n"/>
      <c r="G160" s="128">
        <f t="array" ref="G160">SUMPRODUCT(L160:EZ160,--(MOD(COLUMN(L160:EZ160),2)=0))</f>
        <v/>
      </c>
      <c r="H160" s="38">
        <f t="array" ref="H160">SUMPRODUCT(L160:EZ160,MOD(COLUMN(L160:EZ160),2))</f>
        <v/>
      </c>
      <c r="I160" s="133">
        <f>D160-G160</f>
        <v/>
      </c>
      <c r="J160" s="40">
        <f>ROUND(E160,2)-ROUND(H160,2)</f>
        <v/>
      </c>
      <c r="K160" s="116">
        <f>IF(J160=0,"",IF(J160&lt;0,"IMPORTANT:  Over budget - Needs review","Currently at or under budget"))</f>
        <v/>
      </c>
      <c r="L160" s="134" t="n"/>
      <c r="M160" s="40">
        <f>L160*$C160</f>
        <v/>
      </c>
      <c r="N160" s="134" t="n"/>
      <c r="O160" s="40">
        <f>N160*$C160</f>
        <v/>
      </c>
      <c r="P160" s="134" t="n"/>
      <c r="Q160" s="40">
        <f>P160*$C160</f>
        <v/>
      </c>
      <c r="R160" s="134" t="n"/>
      <c r="S160" s="40">
        <f>R160*$C160</f>
        <v/>
      </c>
      <c r="T160" s="134" t="n"/>
      <c r="U160" s="64">
        <f>T160*$C160</f>
        <v/>
      </c>
      <c r="V160" s="134" t="n"/>
      <c r="W160" s="38">
        <f>V160*$C160</f>
        <v/>
      </c>
      <c r="X160" s="134" t="n"/>
      <c r="Y160" s="38">
        <f>X160*$C160</f>
        <v/>
      </c>
      <c r="Z160" s="134" t="n"/>
      <c r="AA160" s="38">
        <f>Z160*$C160</f>
        <v/>
      </c>
      <c r="AB160" s="134" t="n"/>
      <c r="AC160" s="38">
        <f>AB160*$C160</f>
        <v/>
      </c>
      <c r="AD160" s="134" t="n"/>
      <c r="AE160" s="38">
        <f>AD160*$C160</f>
        <v/>
      </c>
      <c r="AF160" s="134" t="n"/>
      <c r="AG160" s="38">
        <f>AF160*$C160</f>
        <v/>
      </c>
      <c r="AH160" s="134" t="n"/>
      <c r="AI160" s="38">
        <f>AH160*$C160</f>
        <v/>
      </c>
      <c r="AJ160" s="134" t="n"/>
      <c r="AK160" s="38">
        <f>AJ160*$C160</f>
        <v/>
      </c>
      <c r="AL160" s="134" t="n"/>
      <c r="AM160" s="38">
        <f>AL160*$C160</f>
        <v/>
      </c>
      <c r="AN160" s="134" t="n"/>
      <c r="AO160" s="38">
        <f>AN160*$C160</f>
        <v/>
      </c>
      <c r="AP160" s="134" t="n"/>
      <c r="AQ160" s="38">
        <f>AP160*$C160</f>
        <v/>
      </c>
      <c r="AR160" s="134" t="n"/>
      <c r="AS160" s="38">
        <f>AR160*$C160</f>
        <v/>
      </c>
      <c r="AT160" s="134" t="n"/>
      <c r="AU160" s="38">
        <f>AT160*$C160</f>
        <v/>
      </c>
      <c r="AV160" s="134" t="n"/>
      <c r="AW160" s="38">
        <f>AV160*$C160</f>
        <v/>
      </c>
      <c r="AX160" s="134" t="n"/>
      <c r="AY160" s="38">
        <f>AX160*$C160</f>
        <v/>
      </c>
    </row>
    <row r="161">
      <c r="A161" s="56" t="inlineStr">
        <is>
          <t>HR009-100</t>
        </is>
      </c>
      <c r="B161" s="57" t="inlineStr">
        <is>
          <t>Distribution Services - All work on reissuance of checks</t>
        </is>
      </c>
      <c r="C161" s="73" t="n">
        <v>85</v>
      </c>
      <c r="D161" s="132" t="n">
        <v>15</v>
      </c>
      <c r="E161" s="38">
        <f>ROUND(C161*D161,2)</f>
        <v/>
      </c>
      <c r="F161" s="60" t="n"/>
      <c r="G161" s="128">
        <f t="array" ref="G161">SUMPRODUCT(L161:EZ161,--(MOD(COLUMN(L161:EZ161),2)=0))</f>
        <v/>
      </c>
      <c r="H161" s="38">
        <f t="array" ref="H161">SUMPRODUCT(L161:EZ161,MOD(COLUMN(L161:EZ161),2))</f>
        <v/>
      </c>
      <c r="I161" s="133">
        <f>D161-G161</f>
        <v/>
      </c>
      <c r="J161" s="40">
        <f>ROUND(E161,2)-ROUND(H161,2)</f>
        <v/>
      </c>
      <c r="K161" s="116">
        <f>IF(J161=0,"",IF(J161&lt;0,"IMPORTANT:  Over budget - Needs review","Currently at or under budget"))</f>
        <v/>
      </c>
      <c r="L161" s="134" t="n"/>
      <c r="M161" s="40">
        <f>L161*$C161</f>
        <v/>
      </c>
      <c r="N161" s="134" t="n"/>
      <c r="O161" s="40">
        <f>N161*$C161</f>
        <v/>
      </c>
      <c r="P161" s="134" t="n"/>
      <c r="Q161" s="40">
        <f>P161*$C161</f>
        <v/>
      </c>
      <c r="R161" s="134" t="n"/>
      <c r="S161" s="40">
        <f>R161*$C161</f>
        <v/>
      </c>
      <c r="T161" s="134" t="n"/>
      <c r="U161" s="64">
        <f>T161*$C161</f>
        <v/>
      </c>
      <c r="V161" s="134" t="n"/>
      <c r="W161" s="38">
        <f>V161*$C161</f>
        <v/>
      </c>
      <c r="X161" s="134" t="n"/>
      <c r="Y161" s="38">
        <f>X161*$C161</f>
        <v/>
      </c>
      <c r="Z161" s="134" t="n"/>
      <c r="AA161" s="38">
        <f>Z161*$C161</f>
        <v/>
      </c>
      <c r="AB161" s="134" t="n"/>
      <c r="AC161" s="38">
        <f>AB161*$C161</f>
        <v/>
      </c>
      <c r="AD161" s="134" t="n"/>
      <c r="AE161" s="38">
        <f>AD161*$C161</f>
        <v/>
      </c>
      <c r="AF161" s="134" t="n"/>
      <c r="AG161" s="38">
        <f>AF161*$C161</f>
        <v/>
      </c>
      <c r="AH161" s="134" t="n"/>
      <c r="AI161" s="38">
        <f>AH161*$C161</f>
        <v/>
      </c>
      <c r="AJ161" s="134" t="n"/>
      <c r="AK161" s="38">
        <f>AJ161*$C161</f>
        <v/>
      </c>
      <c r="AL161" s="134" t="n"/>
      <c r="AM161" s="38">
        <f>AL161*$C161</f>
        <v/>
      </c>
      <c r="AN161" s="134" t="n"/>
      <c r="AO161" s="38">
        <f>AN161*$C161</f>
        <v/>
      </c>
      <c r="AP161" s="134" t="n"/>
      <c r="AQ161" s="38">
        <f>AP161*$C161</f>
        <v/>
      </c>
      <c r="AR161" s="134" t="n"/>
      <c r="AS161" s="38">
        <f>AR161*$C161</f>
        <v/>
      </c>
      <c r="AT161" s="134" t="n"/>
      <c r="AU161" s="38">
        <f>AT161*$C161</f>
        <v/>
      </c>
      <c r="AV161" s="134" t="n"/>
      <c r="AW161" s="38">
        <f>AV161*$C161</f>
        <v/>
      </c>
      <c r="AX161" s="134" t="n"/>
      <c r="AY161" s="38">
        <f>AX161*$C161</f>
        <v/>
      </c>
    </row>
    <row r="162">
      <c r="A162" s="56" t="inlineStr">
        <is>
          <t>HR009-500</t>
        </is>
      </c>
      <c r="B162" s="57" t="inlineStr">
        <is>
          <t>Distribution Services - Coordinating Distribution</t>
        </is>
      </c>
      <c r="C162" s="73" t="n">
        <v>0.406</v>
      </c>
      <c r="D162" s="132" t="n">
        <v>2166</v>
      </c>
      <c r="E162" s="38">
        <f>ROUND(C162*D162,2)</f>
        <v/>
      </c>
      <c r="F162" s="60" t="n"/>
      <c r="G162" s="128">
        <f t="array" ref="G162">SUMPRODUCT(L162:EZ162,--(MOD(COLUMN(L162:EZ162),2)=0))</f>
        <v/>
      </c>
      <c r="H162" s="38">
        <f t="array" ref="H162">SUMPRODUCT(L162:EZ162,MOD(COLUMN(L162:EZ162),2))</f>
        <v/>
      </c>
      <c r="I162" s="133">
        <f>D162-G162</f>
        <v/>
      </c>
      <c r="J162" s="40">
        <f>ROUND(E162,2)-ROUND(H162,2)</f>
        <v/>
      </c>
      <c r="K162" s="116">
        <f>IF(J162=0,"",IF(J162&lt;0,"IMPORTANT:  Over budget - Needs review","Currently at or under budget"))</f>
        <v/>
      </c>
      <c r="L162" s="134" t="n"/>
      <c r="M162" s="40">
        <f>L162*$C162</f>
        <v/>
      </c>
      <c r="N162" s="134" t="n"/>
      <c r="O162" s="40">
        <f>N162*$C162</f>
        <v/>
      </c>
      <c r="P162" s="134" t="n"/>
      <c r="Q162" s="40">
        <f>P162*$C162</f>
        <v/>
      </c>
      <c r="R162" s="134" t="n"/>
      <c r="S162" s="40">
        <f>R162*$C162</f>
        <v/>
      </c>
      <c r="T162" s="134" t="n"/>
      <c r="U162" s="64">
        <f>T162*$C162</f>
        <v/>
      </c>
      <c r="V162" s="134" t="n"/>
      <c r="W162" s="38">
        <f>V162*$C162</f>
        <v/>
      </c>
      <c r="X162" s="134" t="n"/>
      <c r="Y162" s="38">
        <f>X162*$C162</f>
        <v/>
      </c>
      <c r="Z162" s="134" t="n"/>
      <c r="AA162" s="38">
        <f>Z162*$C162</f>
        <v/>
      </c>
      <c r="AB162" s="134" t="n"/>
      <c r="AC162" s="38">
        <f>AB162*$C162</f>
        <v/>
      </c>
      <c r="AD162" s="134" t="n"/>
      <c r="AE162" s="38">
        <f>AD162*$C162</f>
        <v/>
      </c>
      <c r="AF162" s="134" t="n"/>
      <c r="AG162" s="38">
        <f>AF162*$C162</f>
        <v/>
      </c>
      <c r="AH162" s="134" t="n"/>
      <c r="AI162" s="38">
        <f>AH162*$C162</f>
        <v/>
      </c>
      <c r="AJ162" s="134" t="n"/>
      <c r="AK162" s="38">
        <f>AJ162*$C162</f>
        <v/>
      </c>
      <c r="AL162" s="134" t="n"/>
      <c r="AM162" s="38">
        <f>AL162*$C162</f>
        <v/>
      </c>
      <c r="AN162" s="134" t="n"/>
      <c r="AO162" s="38">
        <f>AN162*$C162</f>
        <v/>
      </c>
      <c r="AP162" s="134" t="n"/>
      <c r="AQ162" s="38">
        <f>AP162*$C162</f>
        <v/>
      </c>
      <c r="AR162" s="134" t="n"/>
      <c r="AS162" s="38">
        <f>AR162*$C162</f>
        <v/>
      </c>
      <c r="AT162" s="134" t="n"/>
      <c r="AU162" s="38">
        <f>AT162*$C162</f>
        <v/>
      </c>
      <c r="AV162" s="134" t="n"/>
      <c r="AW162" s="38">
        <f>AV162*$C162</f>
        <v/>
      </c>
      <c r="AX162" s="134" t="n"/>
      <c r="AY162" s="38">
        <f>AX162*$C162</f>
        <v/>
      </c>
    </row>
    <row r="163">
      <c r="A163" s="56" t="inlineStr">
        <is>
          <t>HR009-600</t>
        </is>
      </c>
      <c r="B163" s="57" t="inlineStr">
        <is>
          <t>Distribution Services - Coordinating wire payments</t>
        </is>
      </c>
      <c r="C163" s="73" t="n"/>
      <c r="D163" s="132" t="n"/>
      <c r="E163" s="38">
        <f>ROUND(C163*D163,2)</f>
        <v/>
      </c>
      <c r="F163" s="60" t="n"/>
      <c r="G163" s="128">
        <f t="array" ref="G163">SUMPRODUCT(L163:EZ163,--(MOD(COLUMN(L163:EZ163),2)=0))</f>
        <v/>
      </c>
      <c r="H163" s="38">
        <f t="array" ref="H163">SUMPRODUCT(L163:EZ163,MOD(COLUMN(L163:EZ163),2))</f>
        <v/>
      </c>
      <c r="I163" s="133">
        <f>D163-G163</f>
        <v/>
      </c>
      <c r="J163" s="40">
        <f>ROUND(E163,2)-ROUND(H163,2)</f>
        <v/>
      </c>
      <c r="K163" s="116">
        <f>IF(J163=0,"",IF(J163&lt;0,"IMPORTANT:  Over budget - Needs review","Currently at or under budget"))</f>
        <v/>
      </c>
      <c r="L163" s="134" t="n"/>
      <c r="M163" s="40">
        <f>L163*$C163</f>
        <v/>
      </c>
      <c r="N163" s="134" t="n"/>
      <c r="O163" s="40">
        <f>N163*$C163</f>
        <v/>
      </c>
      <c r="P163" s="134" t="n"/>
      <c r="Q163" s="40">
        <f>P163*$C163</f>
        <v/>
      </c>
      <c r="R163" s="134" t="n"/>
      <c r="S163" s="40">
        <f>R163*$C163</f>
        <v/>
      </c>
      <c r="T163" s="134" t="n"/>
      <c r="U163" s="64">
        <f>T163*$C163</f>
        <v/>
      </c>
      <c r="V163" s="134" t="n"/>
      <c r="W163" s="38">
        <f>V163*$C163</f>
        <v/>
      </c>
      <c r="X163" s="134" t="n"/>
      <c r="Y163" s="38">
        <f>X163*$C163</f>
        <v/>
      </c>
      <c r="Z163" s="134" t="n"/>
      <c r="AA163" s="38">
        <f>Z163*$C163</f>
        <v/>
      </c>
      <c r="AB163" s="134" t="n"/>
      <c r="AC163" s="38">
        <f>AB163*$C163</f>
        <v/>
      </c>
      <c r="AD163" s="134" t="n"/>
      <c r="AE163" s="38">
        <f>AD163*$C163</f>
        <v/>
      </c>
      <c r="AF163" s="134" t="n"/>
      <c r="AG163" s="38">
        <f>AF163*$C163</f>
        <v/>
      </c>
      <c r="AH163" s="134" t="n"/>
      <c r="AI163" s="38">
        <f>AH163*$C163</f>
        <v/>
      </c>
      <c r="AJ163" s="134" t="n"/>
      <c r="AK163" s="38">
        <f>AJ163*$C163</f>
        <v/>
      </c>
      <c r="AL163" s="134" t="n"/>
      <c r="AM163" s="38">
        <f>AL163*$C163</f>
        <v/>
      </c>
      <c r="AN163" s="134" t="n"/>
      <c r="AO163" s="38">
        <f>AN163*$C163</f>
        <v/>
      </c>
      <c r="AP163" s="134" t="n"/>
      <c r="AQ163" s="38">
        <f>AP163*$C163</f>
        <v/>
      </c>
      <c r="AR163" s="134" t="n"/>
      <c r="AS163" s="38">
        <f>AR163*$C163</f>
        <v/>
      </c>
      <c r="AT163" s="134" t="n"/>
      <c r="AU163" s="38">
        <f>AT163*$C163</f>
        <v/>
      </c>
      <c r="AV163" s="134" t="n"/>
      <c r="AW163" s="38">
        <f>AV163*$C163</f>
        <v/>
      </c>
      <c r="AX163" s="134" t="n"/>
      <c r="AY163" s="38">
        <f>AX163*$C163</f>
        <v/>
      </c>
    </row>
    <row r="164">
      <c r="A164" s="56" t="inlineStr">
        <is>
          <t>HR009-800</t>
        </is>
      </c>
      <c r="B164" s="57" t="inlineStr">
        <is>
          <t>Distribution Services - Residual funds cy pres or escheatment management</t>
        </is>
      </c>
      <c r="C164" s="73" t="n"/>
      <c r="D164" s="132" t="n"/>
      <c r="E164" s="38">
        <f>ROUND(C164*D164,2)</f>
        <v/>
      </c>
      <c r="F164" s="60" t="n"/>
      <c r="G164" s="128">
        <f t="array" ref="G164">SUMPRODUCT(L164:EZ164,--(MOD(COLUMN(L164:EZ164),2)=0))</f>
        <v/>
      </c>
      <c r="H164" s="38">
        <f t="array" ref="H164">SUMPRODUCT(L164:EZ164,MOD(COLUMN(L164:EZ164),2))</f>
        <v/>
      </c>
      <c r="I164" s="133">
        <f>D164-G164</f>
        <v/>
      </c>
      <c r="J164" s="40">
        <f>ROUND(E164,2)-ROUND(H164,2)</f>
        <v/>
      </c>
      <c r="K164" s="116">
        <f>IF(J164=0,"",IF(J164&lt;0,"IMPORTANT:  Over budget - Needs review","Currently at or under budget"))</f>
        <v/>
      </c>
      <c r="L164" s="134" t="n"/>
      <c r="M164" s="40">
        <f>L164*$C164</f>
        <v/>
      </c>
      <c r="N164" s="134" t="n"/>
      <c r="O164" s="40">
        <f>N164*$C164</f>
        <v/>
      </c>
      <c r="P164" s="134" t="n"/>
      <c r="Q164" s="40">
        <f>P164*$C164</f>
        <v/>
      </c>
      <c r="R164" s="134" t="n"/>
      <c r="S164" s="40">
        <f>R164*$C164</f>
        <v/>
      </c>
      <c r="T164" s="134" t="n"/>
      <c r="U164" s="64">
        <f>T164*$C164</f>
        <v/>
      </c>
      <c r="V164" s="134" t="n"/>
      <c r="W164" s="38">
        <f>V164*$C164</f>
        <v/>
      </c>
      <c r="X164" s="134" t="n"/>
      <c r="Y164" s="38">
        <f>X164*$C164</f>
        <v/>
      </c>
      <c r="Z164" s="134" t="n"/>
      <c r="AA164" s="38">
        <f>Z164*$C164</f>
        <v/>
      </c>
      <c r="AB164" s="134" t="n"/>
      <c r="AC164" s="38">
        <f>AB164*$C164</f>
        <v/>
      </c>
      <c r="AD164" s="134" t="n"/>
      <c r="AE164" s="38">
        <f>AD164*$C164</f>
        <v/>
      </c>
      <c r="AF164" s="134" t="n"/>
      <c r="AG164" s="38">
        <f>AF164*$C164</f>
        <v/>
      </c>
      <c r="AH164" s="134" t="n"/>
      <c r="AI164" s="38">
        <f>AH164*$C164</f>
        <v/>
      </c>
      <c r="AJ164" s="134" t="n"/>
      <c r="AK164" s="38">
        <f>AJ164*$C164</f>
        <v/>
      </c>
      <c r="AL164" s="134" t="n"/>
      <c r="AM164" s="38">
        <f>AL164*$C164</f>
        <v/>
      </c>
      <c r="AN164" s="134" t="n"/>
      <c r="AO164" s="38">
        <f>AN164*$C164</f>
        <v/>
      </c>
      <c r="AP164" s="134" t="n"/>
      <c r="AQ164" s="38">
        <f>AP164*$C164</f>
        <v/>
      </c>
      <c r="AR164" s="134" t="n"/>
      <c r="AS164" s="38">
        <f>AR164*$C164</f>
        <v/>
      </c>
      <c r="AT164" s="134" t="n"/>
      <c r="AU164" s="38">
        <f>AT164*$C164</f>
        <v/>
      </c>
      <c r="AV164" s="134" t="n"/>
      <c r="AW164" s="38">
        <f>AV164*$C164</f>
        <v/>
      </c>
      <c r="AX164" s="134" t="n"/>
      <c r="AY164" s="38">
        <f>AX164*$C164</f>
        <v/>
      </c>
    </row>
    <row r="165">
      <c r="A165" s="56" t="inlineStr">
        <is>
          <t>HR010-200</t>
        </is>
      </c>
      <c r="B165" s="57" t="inlineStr">
        <is>
          <t>Tax Reporting - Recording and reconciling SFA activity during the year</t>
        </is>
      </c>
      <c r="C165" s="73" t="n">
        <v>100</v>
      </c>
      <c r="D165" s="132" t="n">
        <v>15</v>
      </c>
      <c r="E165" s="38">
        <f>ROUND(C165*D165,2)</f>
        <v/>
      </c>
      <c r="F165" s="60" t="n"/>
      <c r="G165" s="128">
        <f t="array" ref="G165">SUMPRODUCT(L165:EZ165,--(MOD(COLUMN(L165:EZ165),2)=0))</f>
        <v/>
      </c>
      <c r="H165" s="38">
        <f t="array" ref="H165">SUMPRODUCT(L165:EZ165,MOD(COLUMN(L165:EZ165),2))</f>
        <v/>
      </c>
      <c r="I165" s="133">
        <f>D165-G165</f>
        <v/>
      </c>
      <c r="J165" s="40">
        <f>ROUND(E165,2)-ROUND(H165,2)</f>
        <v/>
      </c>
      <c r="K165" s="116">
        <f>IF(J165=0,"",IF(J165&lt;0,"IMPORTANT:  Over budget - Needs review","Currently at or under budget"))</f>
        <v/>
      </c>
      <c r="L165" s="134" t="n"/>
      <c r="M165" s="40">
        <f>L165*$C165</f>
        <v/>
      </c>
      <c r="N165" s="134" t="n"/>
      <c r="O165" s="40">
        <f>N165*$C165</f>
        <v/>
      </c>
      <c r="P165" s="134" t="n"/>
      <c r="Q165" s="40">
        <f>P165*$C165</f>
        <v/>
      </c>
      <c r="R165" s="134" t="n"/>
      <c r="S165" s="40">
        <f>R165*$C165</f>
        <v/>
      </c>
      <c r="T165" s="134" t="n"/>
      <c r="U165" s="64">
        <f>T165*$C165</f>
        <v/>
      </c>
      <c r="V165" s="134" t="n"/>
      <c r="W165" s="38">
        <f>V165*$C165</f>
        <v/>
      </c>
      <c r="X165" s="134" t="n"/>
      <c r="Y165" s="38">
        <f>X165*$C165</f>
        <v/>
      </c>
      <c r="Z165" s="134" t="n"/>
      <c r="AA165" s="38">
        <f>Z165*$C165</f>
        <v/>
      </c>
      <c r="AB165" s="134" t="n"/>
      <c r="AC165" s="38">
        <f>AB165*$C165</f>
        <v/>
      </c>
      <c r="AD165" s="134" t="n"/>
      <c r="AE165" s="38">
        <f>AD165*$C165</f>
        <v/>
      </c>
      <c r="AF165" s="134" t="n"/>
      <c r="AG165" s="38">
        <f>AF165*$C165</f>
        <v/>
      </c>
      <c r="AH165" s="134" t="n"/>
      <c r="AI165" s="38">
        <f>AH165*$C165</f>
        <v/>
      </c>
      <c r="AJ165" s="134" t="n"/>
      <c r="AK165" s="38">
        <f>AJ165*$C165</f>
        <v/>
      </c>
      <c r="AL165" s="134" t="n"/>
      <c r="AM165" s="38">
        <f>AL165*$C165</f>
        <v/>
      </c>
      <c r="AN165" s="134" t="n"/>
      <c r="AO165" s="38">
        <f>AN165*$C165</f>
        <v/>
      </c>
      <c r="AP165" s="134" t="n"/>
      <c r="AQ165" s="38">
        <f>AP165*$C165</f>
        <v/>
      </c>
      <c r="AR165" s="134" t="n"/>
      <c r="AS165" s="38">
        <f>AR165*$C165</f>
        <v/>
      </c>
      <c r="AT165" s="134" t="n"/>
      <c r="AU165" s="38">
        <f>AT165*$C165</f>
        <v/>
      </c>
      <c r="AV165" s="134" t="n"/>
      <c r="AW165" s="38">
        <f>AV165*$C165</f>
        <v/>
      </c>
      <c r="AX165" s="134" t="n"/>
      <c r="AY165" s="38">
        <f>AX165*$C165</f>
        <v/>
      </c>
    </row>
    <row r="166">
      <c r="A166" s="56" t="inlineStr">
        <is>
          <t>HR010-400</t>
        </is>
      </c>
      <c r="B166" s="57" t="inlineStr">
        <is>
          <t>Tax Reporting - Calculation of employment taxes</t>
        </is>
      </c>
      <c r="C166" s="73" t="n"/>
      <c r="D166" s="132" t="n"/>
      <c r="E166" s="38">
        <f>ROUND(C166*D166,2)</f>
        <v/>
      </c>
      <c r="F166" s="60" t="n"/>
      <c r="G166" s="128">
        <f t="array" ref="G166">SUMPRODUCT(L166:EZ166,--(MOD(COLUMN(L166:EZ166),2)=0))</f>
        <v/>
      </c>
      <c r="H166" s="38">
        <f t="array" ref="H166">SUMPRODUCT(L166:EZ166,MOD(COLUMN(L166:EZ166),2))</f>
        <v/>
      </c>
      <c r="I166" s="133">
        <f>D166-G166</f>
        <v/>
      </c>
      <c r="J166" s="40">
        <f>ROUND(E166,2)-ROUND(H166,2)</f>
        <v/>
      </c>
      <c r="K166" s="116">
        <f>IF(J166=0,"",IF(J166&lt;0,"IMPORTANT:  Over budget - Needs review","Currently at or under budget"))</f>
        <v/>
      </c>
      <c r="L166" s="134" t="n"/>
      <c r="M166" s="40">
        <f>L166*$C166</f>
        <v/>
      </c>
      <c r="N166" s="134" t="n"/>
      <c r="O166" s="40">
        <f>N166*$C166</f>
        <v/>
      </c>
      <c r="P166" s="134" t="n"/>
      <c r="Q166" s="40">
        <f>P166*$C166</f>
        <v/>
      </c>
      <c r="R166" s="134" t="n"/>
      <c r="S166" s="40">
        <f>R166*$C166</f>
        <v/>
      </c>
      <c r="T166" s="134" t="n"/>
      <c r="U166" s="64">
        <f>T166*$C166</f>
        <v/>
      </c>
      <c r="V166" s="134" t="n"/>
      <c r="W166" s="38">
        <f>V166*$C166</f>
        <v/>
      </c>
      <c r="X166" s="134" t="n"/>
      <c r="Y166" s="38">
        <f>X166*$C166</f>
        <v/>
      </c>
      <c r="Z166" s="134" t="n"/>
      <c r="AA166" s="38">
        <f>Z166*$C166</f>
        <v/>
      </c>
      <c r="AB166" s="134" t="n"/>
      <c r="AC166" s="38">
        <f>AB166*$C166</f>
        <v/>
      </c>
      <c r="AD166" s="134" t="n"/>
      <c r="AE166" s="38">
        <f>AD166*$C166</f>
        <v/>
      </c>
      <c r="AF166" s="134" t="n"/>
      <c r="AG166" s="38">
        <f>AF166*$C166</f>
        <v/>
      </c>
      <c r="AH166" s="134" t="n"/>
      <c r="AI166" s="38">
        <f>AH166*$C166</f>
        <v/>
      </c>
      <c r="AJ166" s="134" t="n"/>
      <c r="AK166" s="38">
        <f>AJ166*$C166</f>
        <v/>
      </c>
      <c r="AL166" s="134" t="n"/>
      <c r="AM166" s="38">
        <f>AL166*$C166</f>
        <v/>
      </c>
      <c r="AN166" s="134" t="n"/>
      <c r="AO166" s="38">
        <f>AN166*$C166</f>
        <v/>
      </c>
      <c r="AP166" s="134" t="n"/>
      <c r="AQ166" s="38">
        <f>AP166*$C166</f>
        <v/>
      </c>
      <c r="AR166" s="134" t="n"/>
      <c r="AS166" s="38">
        <f>AR166*$C166</f>
        <v/>
      </c>
      <c r="AT166" s="134" t="n"/>
      <c r="AU166" s="38">
        <f>AT166*$C166</f>
        <v/>
      </c>
      <c r="AV166" s="134" t="n"/>
      <c r="AW166" s="38">
        <f>AV166*$C166</f>
        <v/>
      </c>
      <c r="AX166" s="134" t="n"/>
      <c r="AY166" s="38">
        <f>AX166*$C166</f>
        <v/>
      </c>
    </row>
    <row r="167">
      <c r="A167" s="56" t="inlineStr">
        <is>
          <t>HR011-100</t>
        </is>
      </c>
      <c r="B167" s="57" t="inlineStr">
        <is>
          <t>Project Management - Executive management</t>
        </is>
      </c>
      <c r="C167" s="73" t="n"/>
      <c r="D167" s="132" t="n"/>
      <c r="E167" s="38">
        <f>ROUND(C167*D167,2)</f>
        <v/>
      </c>
      <c r="F167" s="60" t="n"/>
      <c r="G167" s="128">
        <f t="array" ref="G167">SUMPRODUCT(L167:EZ167,--(MOD(COLUMN(L167:EZ167),2)=0))</f>
        <v/>
      </c>
      <c r="H167" s="38">
        <f t="array" ref="H167">SUMPRODUCT(L167:EZ167,MOD(COLUMN(L167:EZ167),2))</f>
        <v/>
      </c>
      <c r="I167" s="133">
        <f>D167-G167</f>
        <v/>
      </c>
      <c r="J167" s="40">
        <f>ROUND(E167,2)-ROUND(H167,2)</f>
        <v/>
      </c>
      <c r="K167" s="116">
        <f>IF(J167=0,"",IF(J167&lt;0,"IMPORTANT:  Over budget - Needs review","Currently at or under budget"))</f>
        <v/>
      </c>
      <c r="L167" s="134" t="n"/>
      <c r="M167" s="40">
        <f>L167*$C167</f>
        <v/>
      </c>
      <c r="N167" s="134" t="n"/>
      <c r="O167" s="40">
        <f>N167*$C167</f>
        <v/>
      </c>
      <c r="P167" s="134" t="n"/>
      <c r="Q167" s="40">
        <f>P167*$C167</f>
        <v/>
      </c>
      <c r="R167" s="134" t="n"/>
      <c r="S167" s="40">
        <f>R167*$C167</f>
        <v/>
      </c>
      <c r="T167" s="134" t="n"/>
      <c r="U167" s="64">
        <f>T167*$C167</f>
        <v/>
      </c>
      <c r="V167" s="134" t="n"/>
      <c r="W167" s="38">
        <f>V167*$C167</f>
        <v/>
      </c>
      <c r="X167" s="134" t="n"/>
      <c r="Y167" s="38">
        <f>X167*$C167</f>
        <v/>
      </c>
      <c r="Z167" s="134" t="n"/>
      <c r="AA167" s="38">
        <f>Z167*$C167</f>
        <v/>
      </c>
      <c r="AB167" s="134" t="n"/>
      <c r="AC167" s="38">
        <f>AB167*$C167</f>
        <v/>
      </c>
      <c r="AD167" s="134" t="n"/>
      <c r="AE167" s="38">
        <f>AD167*$C167</f>
        <v/>
      </c>
      <c r="AF167" s="134" t="n"/>
      <c r="AG167" s="38">
        <f>AF167*$C167</f>
        <v/>
      </c>
      <c r="AH167" s="134" t="n"/>
      <c r="AI167" s="38">
        <f>AH167*$C167</f>
        <v/>
      </c>
      <c r="AJ167" s="134" t="n"/>
      <c r="AK167" s="38">
        <f>AJ167*$C167</f>
        <v/>
      </c>
      <c r="AL167" s="134" t="n"/>
      <c r="AM167" s="38">
        <f>AL167*$C167</f>
        <v/>
      </c>
      <c r="AN167" s="134" t="n"/>
      <c r="AO167" s="38">
        <f>AN167*$C167</f>
        <v/>
      </c>
      <c r="AP167" s="134" t="n"/>
      <c r="AQ167" s="38">
        <f>AP167*$C167</f>
        <v/>
      </c>
      <c r="AR167" s="134" t="n"/>
      <c r="AS167" s="38">
        <f>AR167*$C167</f>
        <v/>
      </c>
      <c r="AT167" s="134" t="n"/>
      <c r="AU167" s="38">
        <f>AT167*$C167</f>
        <v/>
      </c>
      <c r="AV167" s="134" t="n"/>
      <c r="AW167" s="38">
        <f>AV167*$C167</f>
        <v/>
      </c>
      <c r="AX167" s="134" t="n"/>
      <c r="AY167" s="38">
        <f>AX167*$C167</f>
        <v/>
      </c>
    </row>
    <row r="168">
      <c r="A168" s="56" t="inlineStr">
        <is>
          <t>HR011-200</t>
        </is>
      </c>
      <c r="B168" s="57" t="inlineStr">
        <is>
          <t>Project Management - Senior Director</t>
        </is>
      </c>
      <c r="C168" s="73" t="n">
        <v>250</v>
      </c>
      <c r="D168" s="132" t="n">
        <v>5</v>
      </c>
      <c r="E168" s="38">
        <f>ROUND(C168*D168,2)</f>
        <v/>
      </c>
      <c r="F168" s="60" t="n"/>
      <c r="G168" s="128">
        <f t="array" ref="G168">SUMPRODUCT(L168:EZ168,--(MOD(COLUMN(L168:EZ168),2)=0))</f>
        <v/>
      </c>
      <c r="H168" s="38">
        <f t="array" ref="H168">SUMPRODUCT(L168:EZ168,MOD(COLUMN(L168:EZ168),2))</f>
        <v/>
      </c>
      <c r="I168" s="133">
        <f>D168-G168</f>
        <v/>
      </c>
      <c r="J168" s="40">
        <f>ROUND(E168,2)-ROUND(H168,2)</f>
        <v/>
      </c>
      <c r="K168" s="116">
        <f>IF(J168=0,"",IF(J168&lt;0,"IMPORTANT:  Over budget - Needs review","Currently at or under budget"))</f>
        <v/>
      </c>
      <c r="L168" s="134" t="n"/>
      <c r="M168" s="40">
        <f>L168*$C168</f>
        <v/>
      </c>
      <c r="N168" s="134" t="n"/>
      <c r="O168" s="40">
        <f>N168*$C168</f>
        <v/>
      </c>
      <c r="P168" s="134" t="n"/>
      <c r="Q168" s="40">
        <f>P168*$C168</f>
        <v/>
      </c>
      <c r="R168" s="134" t="n"/>
      <c r="S168" s="40">
        <f>R168*$C168</f>
        <v/>
      </c>
      <c r="T168" s="134" t="n"/>
      <c r="U168" s="64">
        <f>T168*$C168</f>
        <v/>
      </c>
      <c r="V168" s="134" t="n"/>
      <c r="W168" s="38">
        <f>V168*$C168</f>
        <v/>
      </c>
      <c r="X168" s="134" t="n"/>
      <c r="Y168" s="38">
        <f>X168*$C168</f>
        <v/>
      </c>
      <c r="Z168" s="134" t="n"/>
      <c r="AA168" s="38">
        <f>Z168*$C168</f>
        <v/>
      </c>
      <c r="AB168" s="134" t="n"/>
      <c r="AC168" s="38">
        <f>AB168*$C168</f>
        <v/>
      </c>
      <c r="AD168" s="134" t="n"/>
      <c r="AE168" s="38">
        <f>AD168*$C168</f>
        <v/>
      </c>
      <c r="AF168" s="134" t="n"/>
      <c r="AG168" s="38">
        <f>AF168*$C168</f>
        <v/>
      </c>
      <c r="AH168" s="134" t="n"/>
      <c r="AI168" s="38">
        <f>AH168*$C168</f>
        <v/>
      </c>
      <c r="AJ168" s="134" t="n"/>
      <c r="AK168" s="38">
        <f>AJ168*$C168</f>
        <v/>
      </c>
      <c r="AL168" s="134" t="n"/>
      <c r="AM168" s="38">
        <f>AL168*$C168</f>
        <v/>
      </c>
      <c r="AN168" s="134" t="n"/>
      <c r="AO168" s="38">
        <f>AN168*$C168</f>
        <v/>
      </c>
      <c r="AP168" s="134" t="n"/>
      <c r="AQ168" s="38">
        <f>AP168*$C168</f>
        <v/>
      </c>
      <c r="AR168" s="134" t="n"/>
      <c r="AS168" s="38">
        <f>AR168*$C168</f>
        <v/>
      </c>
      <c r="AT168" s="134" t="n"/>
      <c r="AU168" s="38">
        <f>AT168*$C168</f>
        <v/>
      </c>
      <c r="AV168" s="134" t="n"/>
      <c r="AW168" s="38">
        <f>AV168*$C168</f>
        <v/>
      </c>
      <c r="AX168" s="134" t="n"/>
      <c r="AY168" s="38">
        <f>AX168*$C168</f>
        <v/>
      </c>
    </row>
    <row r="169">
      <c r="A169" s="56" t="inlineStr">
        <is>
          <t>HR011-300</t>
        </is>
      </c>
      <c r="B169" s="57" t="inlineStr">
        <is>
          <t>Project Management - Project management</t>
        </is>
      </c>
      <c r="C169" s="73" t="n">
        <v>150</v>
      </c>
      <c r="D169" s="132" t="n">
        <v>45</v>
      </c>
      <c r="E169" s="38">
        <f>ROUND(C169*D169,2)</f>
        <v/>
      </c>
      <c r="F169" s="60" t="n"/>
      <c r="G169" s="128">
        <f t="array" ref="G169">SUMPRODUCT(L169:EZ169,--(MOD(COLUMN(L169:EZ169),2)=0))</f>
        <v/>
      </c>
      <c r="H169" s="38">
        <f t="array" ref="H169">SUMPRODUCT(L169:EZ169,MOD(COLUMN(L169:EZ169),2))</f>
        <v/>
      </c>
      <c r="I169" s="133">
        <f>D169-G169</f>
        <v/>
      </c>
      <c r="J169" s="40">
        <f>ROUND(E169,2)-ROUND(H169,2)</f>
        <v/>
      </c>
      <c r="K169" s="116">
        <f>IF(J169=0,"",IF(J169&lt;0,"IMPORTANT:  Over budget - Needs review","Currently at or under budget"))</f>
        <v/>
      </c>
      <c r="L169" s="134" t="n"/>
      <c r="M169" s="40">
        <f>L169*$C169</f>
        <v/>
      </c>
      <c r="N169" s="134" t="n"/>
      <c r="O169" s="40">
        <f>N169*$C169</f>
        <v/>
      </c>
      <c r="P169" s="134" t="n"/>
      <c r="Q169" s="40">
        <f>P169*$C169</f>
        <v/>
      </c>
      <c r="R169" s="134" t="n"/>
      <c r="S169" s="40">
        <f>R169*$C169</f>
        <v/>
      </c>
      <c r="T169" s="134" t="n"/>
      <c r="U169" s="64">
        <f>T169*$C169</f>
        <v/>
      </c>
      <c r="V169" s="134" t="n"/>
      <c r="W169" s="38">
        <f>V169*$C169</f>
        <v/>
      </c>
      <c r="X169" s="134" t="n"/>
      <c r="Y169" s="38">
        <f>X169*$C169</f>
        <v/>
      </c>
      <c r="Z169" s="134" t="n"/>
      <c r="AA169" s="38">
        <f>Z169*$C169</f>
        <v/>
      </c>
      <c r="AB169" s="134" t="n"/>
      <c r="AC169" s="38">
        <f>AB169*$C169</f>
        <v/>
      </c>
      <c r="AD169" s="134" t="n"/>
      <c r="AE169" s="38">
        <f>AD169*$C169</f>
        <v/>
      </c>
      <c r="AF169" s="134" t="n"/>
      <c r="AG169" s="38">
        <f>AF169*$C169</f>
        <v/>
      </c>
      <c r="AH169" s="134" t="n"/>
      <c r="AI169" s="38">
        <f>AH169*$C169</f>
        <v/>
      </c>
      <c r="AJ169" s="134" t="n"/>
      <c r="AK169" s="38">
        <f>AJ169*$C169</f>
        <v/>
      </c>
      <c r="AL169" s="134" t="n"/>
      <c r="AM169" s="38">
        <f>AL169*$C169</f>
        <v/>
      </c>
      <c r="AN169" s="134" t="n"/>
      <c r="AO169" s="38">
        <f>AN169*$C169</f>
        <v/>
      </c>
      <c r="AP169" s="134" t="n"/>
      <c r="AQ169" s="38">
        <f>AP169*$C169</f>
        <v/>
      </c>
      <c r="AR169" s="134" t="n"/>
      <c r="AS169" s="38">
        <f>AR169*$C169</f>
        <v/>
      </c>
      <c r="AT169" s="134" t="n"/>
      <c r="AU169" s="38">
        <f>AT169*$C169</f>
        <v/>
      </c>
      <c r="AV169" s="134" t="n"/>
      <c r="AW169" s="38">
        <f>AV169*$C169</f>
        <v/>
      </c>
      <c r="AX169" s="134" t="n"/>
      <c r="AY169" s="38">
        <f>AX169*$C169</f>
        <v/>
      </c>
    </row>
    <row r="170">
      <c r="A170" s="56" t="inlineStr">
        <is>
          <t>HR011-400</t>
        </is>
      </c>
      <c r="B170" s="57" t="inlineStr">
        <is>
          <t>Project Management - Staff</t>
        </is>
      </c>
      <c r="C170" s="73" t="n">
        <v>175</v>
      </c>
      <c r="D170" s="132" t="n">
        <v>10</v>
      </c>
      <c r="E170" s="38">
        <f>ROUND(C170*D170,2)</f>
        <v/>
      </c>
      <c r="F170" s="60" t="n"/>
      <c r="G170" s="128">
        <f t="array" ref="G170">SUMPRODUCT(L170:EZ170,--(MOD(COLUMN(L170:EZ170),2)=0))</f>
        <v/>
      </c>
      <c r="H170" s="38">
        <f t="array" ref="H170">SUMPRODUCT(L170:EZ170,MOD(COLUMN(L170:EZ170),2))</f>
        <v/>
      </c>
      <c r="I170" s="133">
        <f>D170-G170</f>
        <v/>
      </c>
      <c r="J170" s="40">
        <f>ROUND(E170,2)-ROUND(H170,2)</f>
        <v/>
      </c>
      <c r="K170" s="116">
        <f>IF(J170=0,"",IF(J170&lt;0,"IMPORTANT:  Over budget - Needs review","Currently at or under budget"))</f>
        <v/>
      </c>
      <c r="L170" s="134" t="n"/>
      <c r="M170" s="40">
        <f>L170*$C170</f>
        <v/>
      </c>
      <c r="N170" s="134" t="n"/>
      <c r="O170" s="40">
        <f>N170*$C170</f>
        <v/>
      </c>
      <c r="P170" s="134" t="n"/>
      <c r="Q170" s="40">
        <f>P170*$C170</f>
        <v/>
      </c>
      <c r="R170" s="134" t="n"/>
      <c r="S170" s="40">
        <f>R170*$C170</f>
        <v/>
      </c>
      <c r="T170" s="134" t="n"/>
      <c r="U170" s="64">
        <f>T170*$C170</f>
        <v/>
      </c>
      <c r="V170" s="134" t="n"/>
      <c r="W170" s="38">
        <f>V170*$C170</f>
        <v/>
      </c>
      <c r="X170" s="134" t="n"/>
      <c r="Y170" s="38">
        <f>X170*$C170</f>
        <v/>
      </c>
      <c r="Z170" s="134" t="n"/>
      <c r="AA170" s="38">
        <f>Z170*$C170</f>
        <v/>
      </c>
      <c r="AB170" s="134" t="n"/>
      <c r="AC170" s="38">
        <f>AB170*$C170</f>
        <v/>
      </c>
      <c r="AD170" s="134" t="n"/>
      <c r="AE170" s="38">
        <f>AD170*$C170</f>
        <v/>
      </c>
      <c r="AF170" s="134" t="n"/>
      <c r="AG170" s="38">
        <f>AF170*$C170</f>
        <v/>
      </c>
      <c r="AH170" s="134" t="n"/>
      <c r="AI170" s="38">
        <f>AH170*$C170</f>
        <v/>
      </c>
      <c r="AJ170" s="134" t="n"/>
      <c r="AK170" s="38">
        <f>AJ170*$C170</f>
        <v/>
      </c>
      <c r="AL170" s="134" t="n"/>
      <c r="AM170" s="38">
        <f>AL170*$C170</f>
        <v/>
      </c>
      <c r="AN170" s="134" t="n"/>
      <c r="AO170" s="38">
        <f>AN170*$C170</f>
        <v/>
      </c>
      <c r="AP170" s="134" t="n"/>
      <c r="AQ170" s="38">
        <f>AP170*$C170</f>
        <v/>
      </c>
      <c r="AR170" s="134" t="n"/>
      <c r="AS170" s="38">
        <f>AR170*$C170</f>
        <v/>
      </c>
      <c r="AT170" s="134" t="n"/>
      <c r="AU170" s="38">
        <f>AT170*$C170</f>
        <v/>
      </c>
      <c r="AV170" s="134" t="n"/>
      <c r="AW170" s="38">
        <f>AV170*$C170</f>
        <v/>
      </c>
      <c r="AX170" s="134" t="n"/>
      <c r="AY170" s="38">
        <f>AX170*$C170</f>
        <v/>
      </c>
    </row>
    <row r="171">
      <c r="A171" s="56" t="inlineStr">
        <is>
          <t>HR011-500</t>
        </is>
      </c>
      <c r="B171" s="57" t="inlineStr">
        <is>
          <t>Project Management - Clerical/data entry</t>
        </is>
      </c>
      <c r="C171" s="73" t="n">
        <v>50</v>
      </c>
      <c r="D171" s="132" t="n">
        <v>25</v>
      </c>
      <c r="E171" s="38">
        <f>ROUND(C171*D171,2)</f>
        <v/>
      </c>
      <c r="F171" s="60" t="n"/>
      <c r="G171" s="128">
        <f t="array" ref="G171">SUMPRODUCT(L171:EZ171,--(MOD(COLUMN(L171:EZ171),2)=0))</f>
        <v/>
      </c>
      <c r="H171" s="38">
        <f t="array" ref="H171">SUMPRODUCT(L171:EZ171,MOD(COLUMN(L171:EZ171),2))</f>
        <v/>
      </c>
      <c r="I171" s="133">
        <f>D171-G171</f>
        <v/>
      </c>
      <c r="J171" s="40">
        <f>ROUND(E171,2)-ROUND(H171,2)</f>
        <v/>
      </c>
      <c r="K171" s="116">
        <f>IF(J171=0,"",IF(J171&lt;0,"IMPORTANT:  Over budget - Needs review","Currently at or under budget"))</f>
        <v/>
      </c>
      <c r="L171" s="134" t="n"/>
      <c r="M171" s="40">
        <f>L171*$C171</f>
        <v/>
      </c>
      <c r="N171" s="134" t="n"/>
      <c r="O171" s="40">
        <f>N171*$C171</f>
        <v/>
      </c>
      <c r="P171" s="134" t="n"/>
      <c r="Q171" s="40">
        <f>P171*$C171</f>
        <v/>
      </c>
      <c r="R171" s="134" t="n"/>
      <c r="S171" s="40">
        <f>R171*$C171</f>
        <v/>
      </c>
      <c r="T171" s="134" t="n"/>
      <c r="U171" s="64">
        <f>T171*$C171</f>
        <v/>
      </c>
      <c r="V171" s="134" t="n"/>
      <c r="W171" s="38">
        <f>V171*$C171</f>
        <v/>
      </c>
      <c r="X171" s="134" t="n"/>
      <c r="Y171" s="38">
        <f>X171*$C171</f>
        <v/>
      </c>
      <c r="Z171" s="134" t="n"/>
      <c r="AA171" s="38">
        <f>Z171*$C171</f>
        <v/>
      </c>
      <c r="AB171" s="134" t="n"/>
      <c r="AC171" s="38">
        <f>AB171*$C171</f>
        <v/>
      </c>
      <c r="AD171" s="134" t="n"/>
      <c r="AE171" s="38">
        <f>AD171*$C171</f>
        <v/>
      </c>
      <c r="AF171" s="134" t="n"/>
      <c r="AG171" s="38">
        <f>AF171*$C171</f>
        <v/>
      </c>
      <c r="AH171" s="134" t="n"/>
      <c r="AI171" s="38">
        <f>AH171*$C171</f>
        <v/>
      </c>
      <c r="AJ171" s="134" t="n"/>
      <c r="AK171" s="38">
        <f>AJ171*$C171</f>
        <v/>
      </c>
      <c r="AL171" s="134" t="n"/>
      <c r="AM171" s="38">
        <f>AL171*$C171</f>
        <v/>
      </c>
      <c r="AN171" s="134" t="n"/>
      <c r="AO171" s="38">
        <f>AN171*$C171</f>
        <v/>
      </c>
      <c r="AP171" s="134" t="n"/>
      <c r="AQ171" s="38">
        <f>AP171*$C171</f>
        <v/>
      </c>
      <c r="AR171" s="134" t="n"/>
      <c r="AS171" s="38">
        <f>AR171*$C171</f>
        <v/>
      </c>
      <c r="AT171" s="134" t="n"/>
      <c r="AU171" s="38">
        <f>AT171*$C171</f>
        <v/>
      </c>
      <c r="AV171" s="134" t="n"/>
      <c r="AW171" s="38">
        <f>AV171*$C171</f>
        <v/>
      </c>
      <c r="AX171" s="134" t="n"/>
      <c r="AY171" s="38">
        <f>AX171*$C171</f>
        <v/>
      </c>
    </row>
    <row r="172">
      <c r="A172" s="56" t="inlineStr">
        <is>
          <t>HR011-600</t>
        </is>
      </c>
      <c r="B172" s="57" t="inlineStr">
        <is>
          <t>Project Management - Technical consulting</t>
        </is>
      </c>
      <c r="C172" s="73" t="n">
        <v>140</v>
      </c>
      <c r="D172" s="132" t="n">
        <v>15</v>
      </c>
      <c r="E172" s="38">
        <f>ROUND(C172*D172,2)</f>
        <v/>
      </c>
      <c r="F172" s="60" t="n"/>
      <c r="G172" s="128">
        <f t="array" ref="G172">SUMPRODUCT(L172:EZ172,--(MOD(COLUMN(L172:EZ172),2)=0))</f>
        <v/>
      </c>
      <c r="H172" s="38">
        <f t="array" ref="H172">SUMPRODUCT(L172:EZ172,MOD(COLUMN(L172:EZ172),2))</f>
        <v/>
      </c>
      <c r="I172" s="133">
        <f>D172-G172</f>
        <v/>
      </c>
      <c r="J172" s="40">
        <f>ROUND(E172,2)-ROUND(H172,2)</f>
        <v/>
      </c>
      <c r="K172" s="116">
        <f>IF(J172=0,"",IF(J172&lt;0,"IMPORTANT:  Over budget - Needs review","Currently at or under budget"))</f>
        <v/>
      </c>
      <c r="L172" s="134" t="n"/>
      <c r="M172" s="40">
        <f>L172*$C172</f>
        <v/>
      </c>
      <c r="N172" s="134" t="n"/>
      <c r="O172" s="40">
        <f>N172*$C172</f>
        <v/>
      </c>
      <c r="P172" s="134" t="n"/>
      <c r="Q172" s="40">
        <f>P172*$C172</f>
        <v/>
      </c>
      <c r="R172" s="134" t="n"/>
      <c r="S172" s="40">
        <f>R172*$C172</f>
        <v/>
      </c>
      <c r="T172" s="134" t="n"/>
      <c r="U172" s="64">
        <f>T172*$C172</f>
        <v/>
      </c>
      <c r="V172" s="134" t="n"/>
      <c r="W172" s="38">
        <f>V172*$C172</f>
        <v/>
      </c>
      <c r="X172" s="134" t="n"/>
      <c r="Y172" s="38">
        <f>X172*$C172</f>
        <v/>
      </c>
      <c r="Z172" s="134" t="n"/>
      <c r="AA172" s="38">
        <f>Z172*$C172</f>
        <v/>
      </c>
      <c r="AB172" s="134" t="n"/>
      <c r="AC172" s="38">
        <f>AB172*$C172</f>
        <v/>
      </c>
      <c r="AD172" s="134" t="n"/>
      <c r="AE172" s="38">
        <f>AD172*$C172</f>
        <v/>
      </c>
      <c r="AF172" s="134" t="n"/>
      <c r="AG172" s="38">
        <f>AF172*$C172</f>
        <v/>
      </c>
      <c r="AH172" s="134" t="n"/>
      <c r="AI172" s="38">
        <f>AH172*$C172</f>
        <v/>
      </c>
      <c r="AJ172" s="134" t="n"/>
      <c r="AK172" s="38">
        <f>AJ172*$C172</f>
        <v/>
      </c>
      <c r="AL172" s="134" t="n"/>
      <c r="AM172" s="38">
        <f>AL172*$C172</f>
        <v/>
      </c>
      <c r="AN172" s="134" t="n"/>
      <c r="AO172" s="38">
        <f>AN172*$C172</f>
        <v/>
      </c>
      <c r="AP172" s="134" t="n"/>
      <c r="AQ172" s="38">
        <f>AP172*$C172</f>
        <v/>
      </c>
      <c r="AR172" s="134" t="n"/>
      <c r="AS172" s="38">
        <f>AR172*$C172</f>
        <v/>
      </c>
      <c r="AT172" s="134" t="n"/>
      <c r="AU172" s="38">
        <f>AT172*$C172</f>
        <v/>
      </c>
      <c r="AV172" s="134" t="n"/>
      <c r="AW172" s="38">
        <f>AV172*$C172</f>
        <v/>
      </c>
      <c r="AX172" s="134" t="n"/>
      <c r="AY172" s="38">
        <f>AX172*$C172</f>
        <v/>
      </c>
    </row>
    <row r="173">
      <c r="A173" s="56" t="inlineStr">
        <is>
          <t>HR011-700</t>
        </is>
      </c>
      <c r="B173" s="57" t="inlineStr">
        <is>
          <t>Project Management - Class Member Escalations</t>
        </is>
      </c>
      <c r="C173" s="73" t="n"/>
      <c r="D173" s="132" t="n"/>
      <c r="E173" s="38">
        <f>ROUND(C173*D173,2)</f>
        <v/>
      </c>
      <c r="F173" s="60" t="n"/>
      <c r="G173" s="128">
        <f t="array" ref="G173">SUMPRODUCT(L173:EZ173,--(MOD(COLUMN(L173:EZ173),2)=0))</f>
        <v/>
      </c>
      <c r="H173" s="38">
        <f t="array" ref="H173">SUMPRODUCT(L173:EZ173,MOD(COLUMN(L173:EZ173),2))</f>
        <v/>
      </c>
      <c r="I173" s="133">
        <f>D173-G173</f>
        <v/>
      </c>
      <c r="J173" s="40">
        <f>ROUND(E173,2)-ROUND(H173,2)</f>
        <v/>
      </c>
      <c r="K173" s="116">
        <f>IF(J173=0,"",IF(J173&lt;0,"IMPORTANT:  Over budget - Needs review","Currently at or under budget"))</f>
        <v/>
      </c>
      <c r="L173" s="134" t="n"/>
      <c r="M173" s="40">
        <f>L173*$C173</f>
        <v/>
      </c>
      <c r="N173" s="134" t="n"/>
      <c r="O173" s="40">
        <f>N173*$C173</f>
        <v/>
      </c>
      <c r="P173" s="134" t="n"/>
      <c r="Q173" s="40">
        <f>P173*$C173</f>
        <v/>
      </c>
      <c r="R173" s="134" t="n"/>
      <c r="S173" s="40">
        <f>R173*$C173</f>
        <v/>
      </c>
      <c r="T173" s="134" t="n"/>
      <c r="U173" s="64">
        <f>T173*$C173</f>
        <v/>
      </c>
      <c r="V173" s="134" t="n"/>
      <c r="W173" s="38">
        <f>V173*$C173</f>
        <v/>
      </c>
      <c r="X173" s="134" t="n"/>
      <c r="Y173" s="38">
        <f>X173*$C173</f>
        <v/>
      </c>
      <c r="Z173" s="134" t="n"/>
      <c r="AA173" s="38">
        <f>Z173*$C173</f>
        <v/>
      </c>
      <c r="AB173" s="134" t="n"/>
      <c r="AC173" s="38">
        <f>AB173*$C173</f>
        <v/>
      </c>
      <c r="AD173" s="134" t="n"/>
      <c r="AE173" s="38">
        <f>AD173*$C173</f>
        <v/>
      </c>
      <c r="AF173" s="134" t="n"/>
      <c r="AG173" s="38">
        <f>AF173*$C173</f>
        <v/>
      </c>
      <c r="AH173" s="134" t="n"/>
      <c r="AI173" s="38">
        <f>AH173*$C173</f>
        <v/>
      </c>
      <c r="AJ173" s="134" t="n"/>
      <c r="AK173" s="38">
        <f>AJ173*$C173</f>
        <v/>
      </c>
      <c r="AL173" s="134" t="n"/>
      <c r="AM173" s="38">
        <f>AL173*$C173</f>
        <v/>
      </c>
      <c r="AN173" s="134" t="n"/>
      <c r="AO173" s="38">
        <f>AN173*$C173</f>
        <v/>
      </c>
      <c r="AP173" s="134" t="n"/>
      <c r="AQ173" s="38">
        <f>AP173*$C173</f>
        <v/>
      </c>
      <c r="AR173" s="134" t="n"/>
      <c r="AS173" s="38">
        <f>AR173*$C173</f>
        <v/>
      </c>
      <c r="AT173" s="134" t="n"/>
      <c r="AU173" s="38">
        <f>AT173*$C173</f>
        <v/>
      </c>
      <c r="AV173" s="134" t="n"/>
      <c r="AW173" s="38">
        <f>AV173*$C173</f>
        <v/>
      </c>
      <c r="AX173" s="134" t="n"/>
      <c r="AY173" s="38">
        <f>AX173*$C173</f>
        <v/>
      </c>
    </row>
    <row r="174">
      <c r="A174" s="56" t="inlineStr">
        <is>
          <t>HR011-900</t>
        </is>
      </c>
      <c r="B174" s="57" t="inlineStr">
        <is>
          <t>Project Management - Special Master</t>
        </is>
      </c>
      <c r="C174" s="73" t="n"/>
      <c r="D174" s="132" t="n"/>
      <c r="E174" s="38">
        <f>ROUND(C174*D174,2)</f>
        <v/>
      </c>
      <c r="F174" s="60" t="n"/>
      <c r="G174" s="128">
        <f t="array" ref="G174">SUMPRODUCT(L174:EZ174,--(MOD(COLUMN(L174:EZ174),2)=0))</f>
        <v/>
      </c>
      <c r="H174" s="38">
        <f t="array" ref="H174">SUMPRODUCT(L174:EZ174,MOD(COLUMN(L174:EZ174),2))</f>
        <v/>
      </c>
      <c r="I174" s="133">
        <f>D174-G174</f>
        <v/>
      </c>
      <c r="J174" s="40">
        <f>ROUND(E174,2)-ROUND(H174,2)</f>
        <v/>
      </c>
      <c r="K174" s="116">
        <f>IF(J174=0,"",IF(J174&lt;0,"IMPORTANT:  Over budget - Needs review","Currently at or under budget"))</f>
        <v/>
      </c>
      <c r="L174" s="134" t="n"/>
      <c r="M174" s="40">
        <f>L174*$C174</f>
        <v/>
      </c>
      <c r="N174" s="134" t="n"/>
      <c r="O174" s="40">
        <f>N174*$C174</f>
        <v/>
      </c>
      <c r="P174" s="134" t="n"/>
      <c r="Q174" s="40">
        <f>P174*$C174</f>
        <v/>
      </c>
      <c r="R174" s="134" t="n"/>
      <c r="S174" s="40">
        <f>R174*$C174</f>
        <v/>
      </c>
      <c r="T174" s="134" t="n"/>
      <c r="U174" s="64">
        <f>T174*$C174</f>
        <v/>
      </c>
      <c r="V174" s="134" t="n"/>
      <c r="W174" s="38">
        <f>V174*$C174</f>
        <v/>
      </c>
      <c r="X174" s="134" t="n"/>
      <c r="Y174" s="38">
        <f>X174*$C174</f>
        <v/>
      </c>
      <c r="Z174" s="134" t="n"/>
      <c r="AA174" s="38">
        <f>Z174*$C174</f>
        <v/>
      </c>
      <c r="AB174" s="134" t="n"/>
      <c r="AC174" s="38">
        <f>AB174*$C174</f>
        <v/>
      </c>
      <c r="AD174" s="134" t="n"/>
      <c r="AE174" s="38">
        <f>AD174*$C174</f>
        <v/>
      </c>
      <c r="AF174" s="134" t="n"/>
      <c r="AG174" s="38">
        <f>AF174*$C174</f>
        <v/>
      </c>
      <c r="AH174" s="134" t="n"/>
      <c r="AI174" s="38">
        <f>AH174*$C174</f>
        <v/>
      </c>
      <c r="AJ174" s="134" t="n"/>
      <c r="AK174" s="38">
        <f>AJ174*$C174</f>
        <v/>
      </c>
      <c r="AL174" s="134" t="n"/>
      <c r="AM174" s="38">
        <f>AL174*$C174</f>
        <v/>
      </c>
      <c r="AN174" s="134" t="n"/>
      <c r="AO174" s="38">
        <f>AN174*$C174</f>
        <v/>
      </c>
      <c r="AP174" s="134" t="n"/>
      <c r="AQ174" s="38">
        <f>AP174*$C174</f>
        <v/>
      </c>
      <c r="AR174" s="134" t="n"/>
      <c r="AS174" s="38">
        <f>AR174*$C174</f>
        <v/>
      </c>
      <c r="AT174" s="134" t="n"/>
      <c r="AU174" s="38">
        <f>AT174*$C174</f>
        <v/>
      </c>
      <c r="AV174" s="134" t="n"/>
      <c r="AW174" s="38">
        <f>AV174*$C174</f>
        <v/>
      </c>
      <c r="AX174" s="134" t="n"/>
      <c r="AY174" s="38">
        <f>AX174*$C174</f>
        <v/>
      </c>
    </row>
    <row r="175" ht="15" customHeight="1" thickBot="1">
      <c r="A175" s="56" t="inlineStr">
        <is>
          <t>HR012-100</t>
        </is>
      </c>
      <c r="B175" s="57" t="inlineStr">
        <is>
          <t>Mail Handling Scanning and Data/Image Storing - Mail Handling and Scanning</t>
        </is>
      </c>
      <c r="C175" s="77" t="n"/>
      <c r="D175" s="135" t="n"/>
      <c r="E175" s="38">
        <f>ROUND(C175*D175,2)</f>
        <v/>
      </c>
      <c r="F175" s="60" t="n"/>
      <c r="G175" s="136">
        <f t="array" ref="G175">SUMPRODUCT(L175:EZ175,--(MOD(COLUMN(L175:EZ175),2)=0))</f>
        <v/>
      </c>
      <c r="H175" s="80">
        <f t="array" ref="H175">SUMPRODUCT(L175:EZ175,MOD(COLUMN(L175:EZ175),2))</f>
        <v/>
      </c>
      <c r="I175" s="137">
        <f>D175-G175</f>
        <v/>
      </c>
      <c r="J175" s="82">
        <f>ROUND(E175,2)-ROUND(H175,2)</f>
        <v/>
      </c>
      <c r="K175" s="116">
        <f>IF(J175=0,"",IF(J175&lt;0,"IMPORTANT:  Over budget - Needs review","Currently at or under budget"))</f>
        <v/>
      </c>
      <c r="L175" s="134" t="n"/>
      <c r="M175" s="40">
        <f>L175*$C175</f>
        <v/>
      </c>
      <c r="N175" s="134" t="n"/>
      <c r="O175" s="40">
        <f>N175*$C175</f>
        <v/>
      </c>
      <c r="P175" s="134" t="n"/>
      <c r="Q175" s="40">
        <f>P175*$C175</f>
        <v/>
      </c>
      <c r="R175" s="134" t="n"/>
      <c r="S175" s="40">
        <f>R175*$C175</f>
        <v/>
      </c>
      <c r="T175" s="134" t="n"/>
      <c r="U175" s="64">
        <f>T175*$C175</f>
        <v/>
      </c>
      <c r="V175" s="138" t="n"/>
      <c r="W175" s="80">
        <f>V175*$C175</f>
        <v/>
      </c>
      <c r="X175" s="138" t="n"/>
      <c r="Y175" s="80">
        <f>X175*$C175</f>
        <v/>
      </c>
      <c r="Z175" s="138" t="n"/>
      <c r="AA175" s="80">
        <f>Z175*$C175</f>
        <v/>
      </c>
      <c r="AB175" s="138" t="n"/>
      <c r="AC175" s="80">
        <f>AB175*$C175</f>
        <v/>
      </c>
      <c r="AD175" s="138" t="n"/>
      <c r="AE175" s="80">
        <f>AD175*$C175</f>
        <v/>
      </c>
      <c r="AF175" s="138" t="n"/>
      <c r="AG175" s="80">
        <f>AF175*$C175</f>
        <v/>
      </c>
      <c r="AH175" s="138" t="n"/>
      <c r="AI175" s="80">
        <f>AH175*$C175</f>
        <v/>
      </c>
      <c r="AJ175" s="138" t="n"/>
      <c r="AK175" s="80">
        <f>AJ175*$C175</f>
        <v/>
      </c>
      <c r="AL175" s="138" t="n"/>
      <c r="AM175" s="80">
        <f>AL175*$C175</f>
        <v/>
      </c>
      <c r="AN175" s="138" t="n"/>
      <c r="AO175" s="80">
        <f>AN175*$C175</f>
        <v/>
      </c>
      <c r="AP175" s="138" t="n"/>
      <c r="AQ175" s="80">
        <f>AP175*$C175</f>
        <v/>
      </c>
      <c r="AR175" s="138" t="n"/>
      <c r="AS175" s="80">
        <f>AR175*$C175</f>
        <v/>
      </c>
      <c r="AT175" s="138" t="n"/>
      <c r="AU175" s="80">
        <f>AT175*$C175</f>
        <v/>
      </c>
      <c r="AV175" s="138" t="n"/>
      <c r="AW175" s="80">
        <f>AV175*$C175</f>
        <v/>
      </c>
      <c r="AX175" s="138" t="n"/>
      <c r="AY175" s="80">
        <f>AX175*$C175</f>
        <v/>
      </c>
    </row>
    <row r="176" ht="15" customFormat="1" customHeight="1" s="4" thickBot="1">
      <c r="A176" s="84" t="inlineStr">
        <is>
          <t>Grand Total</t>
        </is>
      </c>
      <c r="B176" s="85" t="n"/>
      <c r="C176" s="86" t="n"/>
      <c r="D176" s="87" t="n"/>
      <c r="E176" s="88">
        <f>SUM(E4:E175)</f>
        <v/>
      </c>
      <c r="F176" s="89" t="n"/>
      <c r="G176" s="139" t="n"/>
      <c r="H176" s="91">
        <f>SUM(H4:H175)</f>
        <v/>
      </c>
      <c r="I176" s="92" t="n"/>
      <c r="J176" s="93">
        <f>SUM(J4:J175)</f>
        <v/>
      </c>
      <c r="K176" s="4" t="n">
        <v>87615.66</v>
      </c>
      <c r="L176" s="94">
        <f>K176-J176</f>
        <v/>
      </c>
      <c r="M176" s="95">
        <f>SUM(M4:M175)</f>
        <v/>
      </c>
      <c r="N176" s="92" t="n"/>
      <c r="O176" s="95">
        <f>SUM(O4:O175)</f>
        <v/>
      </c>
      <c r="P176" s="92" t="n"/>
      <c r="Q176" s="95">
        <f>SUM(Q4:Q175)</f>
        <v/>
      </c>
      <c r="R176" s="92" t="n"/>
      <c r="S176" s="95">
        <f>SUM(S4:S175)</f>
        <v/>
      </c>
      <c r="T176" s="92" t="n"/>
      <c r="U176" s="95">
        <f>SUM(U4:U175)</f>
        <v/>
      </c>
      <c r="V176" s="86" t="n"/>
      <c r="W176" s="96">
        <f>SUM(W4:W175)</f>
        <v/>
      </c>
      <c r="X176" s="86" t="n"/>
      <c r="Y176" s="96">
        <f>SUM(Y4:Y175)</f>
        <v/>
      </c>
      <c r="Z176" s="86" t="n"/>
      <c r="AA176" s="96">
        <f>SUM(AA4:AA175)</f>
        <v/>
      </c>
      <c r="AB176" s="86" t="n"/>
      <c r="AC176" s="96">
        <f>SUM(AC4:AC175)</f>
        <v/>
      </c>
      <c r="AD176" s="86" t="n"/>
      <c r="AE176" s="96">
        <f>SUM(AE4:AE175)</f>
        <v/>
      </c>
      <c r="AF176" s="86" t="n"/>
      <c r="AG176" s="96">
        <f>SUM(AG4:AG175)</f>
        <v/>
      </c>
      <c r="AH176" s="86" t="n"/>
      <c r="AI176" s="96">
        <f>SUM(AI4:AI175)</f>
        <v/>
      </c>
      <c r="AJ176" s="86" t="n"/>
      <c r="AK176" s="96">
        <f>SUM(AK4:AK175)</f>
        <v/>
      </c>
      <c r="AL176" s="86" t="n"/>
      <c r="AM176" s="96">
        <f>SUM(AM4:AM175)</f>
        <v/>
      </c>
      <c r="AN176" s="86" t="n"/>
      <c r="AO176" s="96">
        <f>SUM(AO4:AO175)</f>
        <v/>
      </c>
      <c r="AP176" s="86" t="n"/>
      <c r="AQ176" s="96">
        <f>SUM(AQ4:AQ175)</f>
        <v/>
      </c>
      <c r="AR176" s="86" t="n"/>
      <c r="AS176" s="96">
        <f>SUM(AS4:AS175)</f>
        <v/>
      </c>
      <c r="AT176" s="86" t="n"/>
      <c r="AU176" s="96">
        <f>SUM(AU4:AU175)</f>
        <v/>
      </c>
      <c r="AV176" s="86" t="n"/>
      <c r="AW176" s="96">
        <f>SUM(AW4:AW175)</f>
        <v/>
      </c>
      <c r="AX176" s="86" t="n"/>
      <c r="AY176" s="96">
        <f>SUM(AY4:AY175)</f>
        <v/>
      </c>
    </row>
    <row r="177" ht="15" customHeight="1" thickTop="1">
      <c r="A177" s="97" t="inlineStr">
        <is>
          <t>Amount on Invoice</t>
        </is>
      </c>
      <c r="B177" s="97" t="n"/>
      <c r="C177" s="5" t="n"/>
      <c r="D177" s="5" t="n"/>
      <c r="E177" s="98" t="n"/>
      <c r="F177" s="99" t="n"/>
      <c r="G177" s="140" t="n"/>
      <c r="H177" s="101" t="n"/>
      <c r="I177" s="5" t="n"/>
      <c r="J177" s="141" t="n"/>
      <c r="L177" s="5" t="n"/>
      <c r="M177" s="98" t="n"/>
      <c r="N177" s="5" t="n"/>
      <c r="O177" s="98" t="n"/>
      <c r="P177" s="5" t="n"/>
      <c r="Q177" s="98" t="n"/>
      <c r="R177" s="5" t="n"/>
      <c r="S177" s="98" t="n"/>
      <c r="T177" s="5" t="n"/>
      <c r="U177" s="98" t="n"/>
      <c r="V177" s="5" t="n"/>
      <c r="W177" s="98" t="n"/>
      <c r="X177" s="5" t="n"/>
      <c r="Y177" s="98" t="n"/>
      <c r="Z177" s="5" t="n"/>
      <c r="AA177" s="98" t="n"/>
      <c r="AB177" s="5" t="n"/>
      <c r="AC177" s="98" t="n"/>
      <c r="AD177" s="5" t="n"/>
      <c r="AE177" s="98" t="n"/>
      <c r="AF177" s="5" t="n"/>
      <c r="AG177" s="98" t="n"/>
      <c r="AH177" s="5" t="n"/>
      <c r="AI177" s="98" t="n"/>
      <c r="AJ177" s="5" t="n"/>
      <c r="AK177" s="98" t="n"/>
      <c r="AL177" s="5" t="n"/>
      <c r="AM177" s="98" t="n"/>
      <c r="AN177" s="5" t="n"/>
      <c r="AO177" s="98" t="n"/>
      <c r="AP177" s="5" t="n"/>
      <c r="AQ177" s="98" t="n"/>
      <c r="AR177" s="5" t="n"/>
      <c r="AS177" s="98" t="n"/>
      <c r="AT177" s="5" t="n"/>
      <c r="AU177" s="98" t="n"/>
      <c r="AV177" s="5" t="n"/>
      <c r="AW177" s="98" t="n"/>
      <c r="AX177" s="5" t="n"/>
      <c r="AY177" s="98" t="n"/>
    </row>
    <row r="178">
      <c r="A178" s="5" t="n"/>
      <c r="B178" s="5" t="n"/>
      <c r="C178" s="5" t="n"/>
      <c r="D178" s="5" t="n"/>
      <c r="E178" s="103">
        <f>IF(ROUND(E177,2)=ROUND(E176,2),"No Discrepancy",E176-E177)</f>
        <v/>
      </c>
      <c r="F178" s="104" t="n"/>
      <c r="H178" s="103">
        <f>IF(ROUND('[1]Invoice Summary'!G29,2)=ROUND(H176,2),"No Discrepancy","QC Needed")</f>
        <v/>
      </c>
      <c r="J178" s="103">
        <f>IF(ROUND(J176,2)=ROUND(E176-H176,2),"No Discrepancy","QC Needed")</f>
        <v/>
      </c>
      <c r="M178" s="103">
        <f>IF(ROUND(M177,2)=ROUND(M176,2),"No Discrepancy",M176-M177)</f>
        <v/>
      </c>
      <c r="O178" s="103">
        <f>IF(ROUND(O177,2)=ROUND(O176,2),"No Discrepancy",O176-O177)</f>
        <v/>
      </c>
      <c r="Q178" s="103">
        <f>IF(ROUND(Q177,2)=ROUND(Q176,2),"No Discrepancy",Q176-Q177)</f>
        <v/>
      </c>
      <c r="S178" s="103">
        <f>IF(ROUND(S177,2)=ROUND(S176,2),"No Discrepancy",S176-S177)</f>
        <v/>
      </c>
      <c r="U178" s="103">
        <f>IF(ROUND(U177,2)=ROUND(U176,2),"No Discrepancy",U176-U177)</f>
        <v/>
      </c>
      <c r="W178" s="103">
        <f>IF(ROUND(W177,2)=ROUND(W176,2),"No Discrepancy",W176-W177)</f>
        <v/>
      </c>
      <c r="Y178" s="103">
        <f>IF(ROUND(Y177,2)=ROUND(Y176,2),"No Discrepancy",Y176-Y177)</f>
        <v/>
      </c>
      <c r="AA178" s="103">
        <f>IF(ROUND(AA177,2)=ROUND(AA176,2),"No Discrepancy",AA176-AA177)</f>
        <v/>
      </c>
      <c r="AC178" s="103">
        <f>IF(ROUND(AC177,2)=ROUND(AC176,2),"No Discrepancy",AC176-AC177)</f>
        <v/>
      </c>
      <c r="AE178" s="103">
        <f>IF(ROUND(AE177,2)=ROUND(AE176,2),"No Discrepancy",AE176-AE177)</f>
        <v/>
      </c>
      <c r="AG178" s="103">
        <f>IF(ROUND(AG177,2)=ROUND(AG176,2),"No Discrepancy",AG176-AG177)</f>
        <v/>
      </c>
      <c r="AI178" s="103">
        <f>IF(ROUND(AI177,2)=ROUND(AI176,2),"No Discrepancy",AI176-AI177)</f>
        <v/>
      </c>
      <c r="AK178" s="103">
        <f>IF(ROUND(AK177,2)=ROUND(AK176,2),"No Discrepancy",AK176-AK177)</f>
        <v/>
      </c>
      <c r="AM178" s="103">
        <f>IF(ROUND(AM177,2)=ROUND(AM176,2),"No Discrepancy",AM176-AM177)</f>
        <v/>
      </c>
      <c r="AO178" s="103">
        <f>IF(ROUND(AO177,2)=ROUND(AO176,2),"No Discrepancy",AO176-AO177)</f>
        <v/>
      </c>
      <c r="AQ178" s="103">
        <f>IF(ROUND(AQ177,2)=ROUND(AQ176,2),"No Discrepancy",AQ176-AQ177)</f>
        <v/>
      </c>
      <c r="AS178" s="103">
        <f>IF(ROUND(AS177,2)=ROUND(AS176,2),"No Discrepancy",AS176-AS177)</f>
        <v/>
      </c>
      <c r="AU178" s="103">
        <f>IF(ROUND(AU177,2)=ROUND(AU176,2),"No Discrepancy",AU176-AU177)</f>
        <v/>
      </c>
      <c r="AW178" s="103">
        <f>IF(ROUND(AW177,2)=ROUND(AW176,2),"No Discrepancy",AW176-AW177)</f>
        <v/>
      </c>
      <c r="AY178" s="103">
        <f>IF(ROUND(AY177,2)=ROUND(AY176,2),"No Discrepancy",AY176-AY177)</f>
        <v/>
      </c>
    </row>
    <row r="179">
      <c r="G179" s="142">
        <f>IF(H178="QC Needed", "Does not reconcile to Invoice Summary","Reconciles to Invoice Summary")</f>
        <v/>
      </c>
      <c r="M179" s="107">
        <f>IF(M178="No Discrepancy","","Needs Review")</f>
        <v/>
      </c>
      <c r="O179" s="107">
        <f>IF(O178="No Discrepancy","","Needs Review")</f>
        <v/>
      </c>
      <c r="Q179" s="107">
        <f>IF(Q178="No Discrepancy","","Needs Review")</f>
        <v/>
      </c>
      <c r="S179" s="107">
        <f>IF(S178="No Discrepancy","","Needs Review")</f>
        <v/>
      </c>
      <c r="U179" s="107">
        <f>IF(U178="No Discrepancy","","Needs Review")</f>
        <v/>
      </c>
      <c r="W179" s="107">
        <f>IF(W178="No Discrepancy","","Needs Review")</f>
        <v/>
      </c>
      <c r="Y179" s="107">
        <f>IF(Y178="No Discrepancy","","Needs Review")</f>
        <v/>
      </c>
      <c r="AA179" s="107">
        <f>IF(AA178="No Discrepancy","","Needs Review")</f>
        <v/>
      </c>
      <c r="AC179" s="107">
        <f>IF(AC178="No Discrepancy","","Needs Review")</f>
        <v/>
      </c>
      <c r="AE179" s="107">
        <f>IF(AE178="No Discrepancy","","Needs Review")</f>
        <v/>
      </c>
      <c r="AG179" s="107">
        <f>IF(AG178="No Discrepancy","","Needs Review")</f>
        <v/>
      </c>
      <c r="AI179" s="107">
        <f>IF(AI178="No Discrepancy","","Needs Review")</f>
        <v/>
      </c>
      <c r="AK179" s="107">
        <f>IF(AK178="No Discrepancy","","Needs Review")</f>
        <v/>
      </c>
      <c r="AM179" s="107">
        <f>IF(AM178="No Discrepancy","","Needs Review")</f>
        <v/>
      </c>
      <c r="AO179" s="107">
        <f>IF(AO178="No Discrepancy","","Needs Review")</f>
        <v/>
      </c>
      <c r="AQ179" s="107">
        <f>IF(AQ178="No Discrepancy","","Needs Review")</f>
        <v/>
      </c>
      <c r="AS179" s="107">
        <f>IF(AS178="No Discrepancy","","Needs Review")</f>
        <v/>
      </c>
      <c r="AU179" s="107">
        <f>IF(AU178="No Discrepancy","","Needs Review")</f>
        <v/>
      </c>
      <c r="AW179" s="107">
        <f>IF(AW178="No Discrepancy","","Needs Review")</f>
        <v/>
      </c>
      <c r="AY179" s="107">
        <f>IF(AY178="No Discrepancy","","Needs Review")</f>
        <v/>
      </c>
    </row>
  </sheetData>
  <mergeCells count="24">
    <mergeCell ref="C1:E1"/>
    <mergeCell ref="AV1:AW1"/>
    <mergeCell ref="AX1:AY1"/>
    <mergeCell ref="P1:Q1"/>
    <mergeCell ref="AB1:AC1"/>
    <mergeCell ref="AD1:AE1"/>
    <mergeCell ref="V1:W1"/>
    <mergeCell ref="AH1:AI1"/>
    <mergeCell ref="AN1:AO1"/>
    <mergeCell ref="AP1:AQ1"/>
    <mergeCell ref="N1:O1"/>
    <mergeCell ref="T1:U1"/>
    <mergeCell ref="L1:M1"/>
    <mergeCell ref="I1:J1"/>
    <mergeCell ref="AF1:AG1"/>
    <mergeCell ref="X1:Y1"/>
    <mergeCell ref="G1:H1"/>
    <mergeCell ref="AJ1:AK1"/>
    <mergeCell ref="Z1:AA1"/>
    <mergeCell ref="AL1:AM1"/>
    <mergeCell ref="AR1:AS1"/>
    <mergeCell ref="AT1:AU1"/>
    <mergeCell ref="G179:I179"/>
    <mergeCell ref="R1:S1"/>
  </mergeCells>
  <conditionalFormatting sqref="G15">
    <cfRule type="containsText" priority="70" operator="containsText" dxfId="61" text="IMPORTANT:  Over budget - Needs review">
      <formula>NOT(ISERROR(SEARCH("IMPORTANT:  Over budget - Needs review",G15)))</formula>
    </cfRule>
  </conditionalFormatting>
  <conditionalFormatting sqref="G179:I179">
    <cfRule type="containsText" priority="43" operator="containsText" dxfId="1" text="Does not reconcile to Invoice Summary">
      <formula>NOT(ISERROR(SEARCH("Does not reconcile to Invoice Summary",G179)))</formula>
    </cfRule>
  </conditionalFormatting>
  <conditionalFormatting sqref="H178">
    <cfRule type="containsText" priority="63" operator="containsText" dxfId="1" text="QC Needed">
      <formula>NOT(ISERROR(SEARCH("QC Needed",H178)))</formula>
    </cfRule>
  </conditionalFormatting>
  <conditionalFormatting sqref="J4:J175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8">
    <cfRule type="containsText" priority="62" operator="containsText" dxfId="1" text="QC Needed">
      <formula>NOT(ISERROR(SEARCH("QC Needed",J178)))</formula>
    </cfRule>
  </conditionalFormatting>
  <conditionalFormatting sqref="K4">
    <cfRule type="containsText" priority="67" operator="containsText" dxfId="61" text="IMPORTANT:  Over budget - Needs review">
      <formula>NOT(ISERROR(SEARCH("IMPORTANT:  Over budget - Needs review",K4)))</formula>
    </cfRule>
    <cfRule type="containsText" priority="66" operator="containsText" dxfId="1" text="IMPORTANT:  Over budget - Needs review">
      <formula>NOT(ISERROR(SEARCH("IMPORTANT:  Over budget - Needs review",K4)))</formula>
    </cfRule>
  </conditionalFormatting>
  <conditionalFormatting sqref="K6:K133">
    <cfRule type="containsText" priority="69" operator="containsText" dxfId="61" text="IMPORTANT:  Over budget - Needs review">
      <formula>NOT(ISERROR(SEARCH("IMPORTANT:  Over budget - Needs review",K6)))</formula>
    </cfRule>
    <cfRule type="containsText" priority="68" operator="containsText" dxfId="1" text="IMPORTANT:  Over budget - Needs review">
      <formula>NOT(ISERROR(SEARCH("IMPORTANT:  Over budget - Needs review",K6)))</formula>
    </cfRule>
  </conditionalFormatting>
  <conditionalFormatting sqref="K135:K175">
    <cfRule type="containsText" priority="65" operator="containsText" dxfId="61" text="IMPORTANT:  Over budget - Needs review">
      <formula>NOT(ISERROR(SEARCH("IMPORTANT:  Over budget - Needs review",K135)))</formula>
    </cfRule>
    <cfRule type="containsText" priority="64" operator="containsText" dxfId="1" text="IMPORTANT:  Over budget - Needs review">
      <formula>NOT(ISERROR(SEARCH("IMPORTANT:  Over budget - Needs review",K135)))</formula>
    </cfRule>
  </conditionalFormatting>
  <conditionalFormatting sqref="M178">
    <cfRule type="containsText" priority="44" operator="containsText" dxfId="0" text="No Discrepancy">
      <formula>NOT(ISERROR(SEARCH("No Discrepancy",M178)))</formula>
    </cfRule>
    <cfRule type="cellIs" priority="45" operator="notEqual" dxfId="1">
      <formula>"No Discrepancy"</formula>
    </cfRule>
    <cfRule type="cellIs" priority="46" operator="notEqual" dxfId="1">
      <formula>0</formula>
    </cfRule>
  </conditionalFormatting>
  <conditionalFormatting sqref="O178">
    <cfRule type="containsText" priority="47" operator="containsText" dxfId="0" text="No Discrepancy">
      <formula>NOT(ISERROR(SEARCH("No Discrepancy",O178)))</formula>
    </cfRule>
    <cfRule type="cellIs" priority="48" operator="notEqual" dxfId="1">
      <formula>"No Discrepancy"</formula>
    </cfRule>
    <cfRule type="cellIs" priority="49" operator="notEqual" dxfId="1">
      <formula>0</formula>
    </cfRule>
  </conditionalFormatting>
  <conditionalFormatting sqref="Q178">
    <cfRule type="cellIs" priority="51" operator="notEqual" dxfId="1">
      <formula>"No Discrepancy"</formula>
    </cfRule>
    <cfRule type="containsText" priority="50" operator="containsText" dxfId="0" text="No Discrepancy">
      <formula>NOT(ISERROR(SEARCH("No Discrepancy",Q178)))</formula>
    </cfRule>
    <cfRule type="cellIs" priority="52" operator="notEqual" dxfId="1">
      <formula>0</formula>
    </cfRule>
  </conditionalFormatting>
  <conditionalFormatting sqref="S178">
    <cfRule type="cellIs" priority="54" operator="notEqual" dxfId="1">
      <formula>"No Discrepancy"</formula>
    </cfRule>
    <cfRule type="containsText" priority="53" operator="containsText" dxfId="0" text="No Discrepancy">
      <formula>NOT(ISERROR(SEARCH("No Discrepancy",S178)))</formula>
    </cfRule>
    <cfRule type="cellIs" priority="55" operator="notEqual" dxfId="1">
      <formula>0</formula>
    </cfRule>
  </conditionalFormatting>
  <conditionalFormatting sqref="U178">
    <cfRule type="containsText" priority="56" operator="containsText" dxfId="0" text="No Discrepancy">
      <formula>NOT(ISERROR(SEARCH("No Discrepancy",U178)))</formula>
    </cfRule>
    <cfRule type="cellIs" priority="57" operator="notEqual" dxfId="1">
      <formula>"No Discrepancy"</formula>
    </cfRule>
    <cfRule type="cellIs" priority="58" operator="notEqual" dxfId="1">
      <formula>0</formula>
    </cfRule>
  </conditionalFormatting>
  <conditionalFormatting sqref="W178">
    <cfRule type="containsText" priority="59" operator="containsText" dxfId="0" text="No Discrepancy">
      <formula>NOT(ISERROR(SEARCH("No Discrepancy",W178)))</formula>
    </cfRule>
    <cfRule type="cellIs" priority="60" operator="notEqual" dxfId="1">
      <formula>"No Discrepancy"</formula>
    </cfRule>
    <cfRule type="cellIs" priority="61" operator="notEqual" dxfId="1">
      <formula>0</formula>
    </cfRule>
  </conditionalFormatting>
  <conditionalFormatting sqref="Y178">
    <cfRule type="cellIs" priority="42" operator="notEqual" dxfId="1">
      <formula>0</formula>
    </cfRule>
    <cfRule type="cellIs" priority="41" operator="notEqual" dxfId="1">
      <formula>"No Discrepancy"</formula>
    </cfRule>
    <cfRule type="containsText" priority="40" operator="containsText" dxfId="0" text="No Discrepancy">
      <formula>NOT(ISERROR(SEARCH("No Discrepancy",Y178)))</formula>
    </cfRule>
  </conditionalFormatting>
  <conditionalFormatting sqref="AA178">
    <cfRule type="cellIs" priority="39" operator="notEqual" dxfId="1">
      <formula>0</formula>
    </cfRule>
    <cfRule type="cellIs" priority="38" operator="notEqual" dxfId="1">
      <formula>"No Discrepancy"</formula>
    </cfRule>
    <cfRule type="containsText" priority="37" operator="containsText" dxfId="0" text="No Discrepancy">
      <formula>NOT(ISERROR(SEARCH("No Discrepancy",AA178)))</formula>
    </cfRule>
  </conditionalFormatting>
  <conditionalFormatting sqref="AC178">
    <cfRule type="cellIs" priority="36" operator="notEqual" dxfId="1">
      <formula>0</formula>
    </cfRule>
    <cfRule type="cellIs" priority="35" operator="notEqual" dxfId="1">
      <formula>"No Discrepancy"</formula>
    </cfRule>
    <cfRule type="containsText" priority="34" operator="containsText" dxfId="0" text="No Discrepancy">
      <formula>NOT(ISERROR(SEARCH("No Discrepancy",AC178)))</formula>
    </cfRule>
  </conditionalFormatting>
  <conditionalFormatting sqref="AE178">
    <cfRule type="cellIs" priority="33" operator="notEqual" dxfId="1">
      <formula>0</formula>
    </cfRule>
    <cfRule type="cellIs" priority="32" operator="notEqual" dxfId="1">
      <formula>"No Discrepancy"</formula>
    </cfRule>
    <cfRule type="containsText" priority="31" operator="containsText" dxfId="0" text="No Discrepancy">
      <formula>NOT(ISERROR(SEARCH("No Discrepancy",AE178)))</formula>
    </cfRule>
  </conditionalFormatting>
  <conditionalFormatting sqref="AG178">
    <cfRule type="cellIs" priority="30" operator="notEqual" dxfId="1">
      <formula>0</formula>
    </cfRule>
    <cfRule type="cellIs" priority="29" operator="notEqual" dxfId="1">
      <formula>"No Discrepancy"</formula>
    </cfRule>
    <cfRule type="containsText" priority="28" operator="containsText" dxfId="0" text="No Discrepancy">
      <formula>NOT(ISERROR(SEARCH("No Discrepancy",AG178)))</formula>
    </cfRule>
  </conditionalFormatting>
  <conditionalFormatting sqref="AI178">
    <cfRule type="cellIs" priority="27" operator="notEqual" dxfId="1">
      <formula>0</formula>
    </cfRule>
    <cfRule type="cellIs" priority="26" operator="notEqual" dxfId="1">
      <formula>"No Discrepancy"</formula>
    </cfRule>
    <cfRule type="containsText" priority="25" operator="containsText" dxfId="0" text="No Discrepancy">
      <formula>NOT(ISERROR(SEARCH("No Discrepancy",AI178)))</formula>
    </cfRule>
  </conditionalFormatting>
  <conditionalFormatting sqref="AK178">
    <cfRule type="cellIs" priority="24" operator="notEqual" dxfId="1">
      <formula>0</formula>
    </cfRule>
    <cfRule type="cellIs" priority="23" operator="notEqual" dxfId="1">
      <formula>"No Discrepancy"</formula>
    </cfRule>
    <cfRule type="containsText" priority="22" operator="containsText" dxfId="0" text="No Discrepancy">
      <formula>NOT(ISERROR(SEARCH("No Discrepancy",AK178)))</formula>
    </cfRule>
  </conditionalFormatting>
  <conditionalFormatting sqref="AM178">
    <cfRule type="cellIs" priority="21" operator="notEqual" dxfId="1">
      <formula>0</formula>
    </cfRule>
    <cfRule type="cellIs" priority="20" operator="notEqual" dxfId="1">
      <formula>"No Discrepancy"</formula>
    </cfRule>
    <cfRule type="containsText" priority="19" operator="containsText" dxfId="0" text="No Discrepancy">
      <formula>NOT(ISERROR(SEARCH("No Discrepancy",AM178)))</formula>
    </cfRule>
  </conditionalFormatting>
  <conditionalFormatting sqref="AO178">
    <cfRule type="cellIs" priority="18" operator="notEqual" dxfId="1">
      <formula>0</formula>
    </cfRule>
    <cfRule type="cellIs" priority="17" operator="notEqual" dxfId="1">
      <formula>"No Discrepancy"</formula>
    </cfRule>
    <cfRule type="containsText" priority="16" operator="containsText" dxfId="0" text="No Discrepancy">
      <formula>NOT(ISERROR(SEARCH("No Discrepancy",AO178)))</formula>
    </cfRule>
  </conditionalFormatting>
  <conditionalFormatting sqref="AQ178">
    <cfRule type="cellIs" priority="15" operator="notEqual" dxfId="1">
      <formula>0</formula>
    </cfRule>
    <cfRule type="cellIs" priority="14" operator="notEqual" dxfId="1">
      <formula>"No Discrepancy"</formula>
    </cfRule>
    <cfRule type="containsText" priority="13" operator="containsText" dxfId="0" text="No Discrepancy">
      <formula>NOT(ISERROR(SEARCH("No Discrepancy",AQ178)))</formula>
    </cfRule>
  </conditionalFormatting>
  <conditionalFormatting sqref="AS178">
    <cfRule type="cellIs" priority="12" operator="notEqual" dxfId="1">
      <formula>0</formula>
    </cfRule>
    <cfRule type="cellIs" priority="11" operator="notEqual" dxfId="1">
      <formula>"No Discrepancy"</formula>
    </cfRule>
    <cfRule type="containsText" priority="10" operator="containsText" dxfId="0" text="No Discrepancy">
      <formula>NOT(ISERROR(SEARCH("No Discrepancy",AS178)))</formula>
    </cfRule>
  </conditionalFormatting>
  <conditionalFormatting sqref="AU178">
    <cfRule type="cellIs" priority="9" operator="notEqual" dxfId="1">
      <formula>0</formula>
    </cfRule>
    <cfRule type="cellIs" priority="8" operator="notEqual" dxfId="1">
      <formula>"No Discrepancy"</formula>
    </cfRule>
    <cfRule type="containsText" priority="7" operator="containsText" dxfId="0" text="No Discrepancy">
      <formula>NOT(ISERROR(SEARCH("No Discrepancy",AU178)))</formula>
    </cfRule>
  </conditionalFormatting>
  <conditionalFormatting sqref="AW178">
    <cfRule type="cellIs" priority="6" operator="notEqual" dxfId="1">
      <formula>0</formula>
    </cfRule>
    <cfRule type="cellIs" priority="5" operator="notEqual" dxfId="1">
      <formula>"No Discrepancy"</formula>
    </cfRule>
    <cfRule type="containsText" priority="4" operator="containsText" dxfId="0" text="No Discrepancy">
      <formula>NOT(ISERROR(SEARCH("No Discrepancy",AW178)))</formula>
    </cfRule>
  </conditionalFormatting>
  <conditionalFormatting sqref="AY178">
    <cfRule type="cellIs" priority="3" operator="notEqual" dxfId="1">
      <formula>0</formula>
    </cfRule>
    <cfRule type="cellIs" priority="2" operator="notEqual" dxfId="1">
      <formula>"No Discrepancy"</formula>
    </cfRule>
    <cfRule type="containsText" priority="1" operator="containsText" dxfId="0" text="No Discrepancy">
      <formula>NOT(ISERROR(SEARCH("No Discrepancy",AY178)))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Quimbo, Timothy</dc:creator>
  <dcterms:created xmlns:dcterms="http://purl.org/dc/terms/" xmlns:xsi="http://www.w3.org/2001/XMLSchema-instance" xsi:type="dcterms:W3CDTF">2025-11-11T22:45:50Z</dcterms:created>
  <dcterms:modified xmlns:dcterms="http://purl.org/dc/terms/" xmlns:xsi="http://www.w3.org/2001/XMLSchema-instance" xsi:type="dcterms:W3CDTF">2025-11-12T07:11:29Z</dcterms:modified>
  <cp:lastModifiedBy>Tim Quimbo</cp:lastModifiedBy>
</cp:coreProperties>
</file>